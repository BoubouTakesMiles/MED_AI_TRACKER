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 sheetId="1" state="visible" r:id="rId3"/>
    <sheet name="Summary" sheetId="2" state="visible" r:id="rId4"/>
    <sheet name="Change Log" sheetId="3" state="visible" r:id="rId5"/>
  </sheets>
  <definedNames>
    <definedName function="false" hidden="true" localSheetId="0" name="_xlnm._FilterDatabase" vbProcedure="false">Dataset!$A$1:$P$377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<sst xmlns="http://schemas.openxmlformats.org/spreadsheetml/2006/main" count="5987" uniqueCount="2401">
  <si>
    <t xml:space="preserve">Country</t>
  </si>
  <si>
    <t xml:space="preserve">Sector</t>
  </si>
  <si>
    <t xml:space="preserve">Sub-Sector</t>
  </si>
  <si>
    <t xml:space="preserve">Application Sector</t>
  </si>
  <si>
    <t xml:space="preserve">Entity Type</t>
  </si>
  <si>
    <t xml:space="preserve">Entity / Innovation Name</t>
  </si>
  <si>
    <t xml:space="preserve">Key Innovation / Description</t>
  </si>
  <si>
    <t xml:space="preserve">Information Type</t>
  </si>
  <si>
    <t xml:space="preserve">Reference Date</t>
  </si>
  <si>
    <t xml:space="preserve">Last Verified</t>
  </si>
  <si>
    <t xml:space="preserve">Recent Funding</t>
  </si>
  <si>
    <t xml:space="preserve">Source Name</t>
  </si>
  <si>
    <t xml:space="preserve">Source Type</t>
  </si>
  <si>
    <t xml:space="preserve">Source URL</t>
  </si>
  <si>
    <t xml:space="preserve">Verification Status</t>
  </si>
  <si>
    <t xml:space="preserve">Notes</t>
  </si>
  <si>
    <t xml:space="preserve">Algeria</t>
  </si>
  <si>
    <t xml:space="preserve">Policy</t>
  </si>
  <si>
    <t xml:space="preserve">Legal Frameworks</t>
  </si>
  <si>
    <t xml:space="preserve">Government</t>
  </si>
  <si>
    <t xml:space="preserve">Algeria Startup Act (startup.dz)</t>
  </si>
  <si>
    <t xml:space="preserve">State program providing digital labeling portals, tax exemptions and direct subsidies.</t>
  </si>
  <si>
    <t xml:space="preserve">Guidelines</t>
  </si>
  <si>
    <t xml:space="preserve">2020-10-01</t>
  </si>
  <si>
    <t xml:space="preserve">2026-07-22</t>
  </si>
  <si>
    <t xml:space="preserve">N/A</t>
  </si>
  <si>
    <t xml:space="preserve">Algerian Government</t>
  </si>
  <si>
    <t xml:space="preserve">Primary</t>
  </si>
  <si>
    <t xml:space="preserve">https://www.startup.dz/</t>
  </si>
  <si>
    <t xml:space="preserve">Verified</t>
  </si>
  <si>
    <t xml:space="preserve">Verified: startup.dz is the official national portal; Executive Decree 20-254 created the National Committee for Labelling Startups/Innovative Projects/Incubators; Finance Law 2020 grants labelled startups a 2-year exemption from TAP &amp; IBS plus VAT/reduced-customs relief. Corroborated by LaunchBase Africa (2,300+ startups labelled by 2024).</t>
  </si>
  <si>
    <t xml:space="preserve">Fintech</t>
  </si>
  <si>
    <t xml:space="preserve">Insurtech</t>
  </si>
  <si>
    <t xml:space="preserve">Finance</t>
  </si>
  <si>
    <t xml:space="preserve">Hub</t>
  </si>
  <si>
    <t xml:space="preserve">Insurance Innovation and AI Hub (Sidi Abdallah)</t>
  </si>
  <si>
    <t xml:space="preserve">Academic and state sandbox coordinating the integration of AI models, claims automation, and actuarial machine learning. the hub is designed to stimulate innovation within the insurance sector by integrating AI applications, promoting applied research, and enabling experimentation with new digital solutions.</t>
  </si>
  <si>
    <t xml:space="preserve">News article</t>
  </si>
  <si>
    <t xml:space="preserve">2026-01-08</t>
  </si>
  <si>
    <t xml:space="preserve">2026-07-08</t>
  </si>
  <si>
    <t xml:space="preserve">Dzair AI News</t>
  </si>
  <si>
    <t xml:space="preserve">Primary (News)</t>
  </si>
  <si>
    <t xml:space="preserve">https://dzair-ai.org/community/news/2026-01-08_Insurance_AI_Innovation_Hub_Sidi_Abdallah</t>
  </si>
  <si>
    <t xml:space="preserve">Enterprise AI</t>
  </si>
  <si>
    <t xml:space="preserve">Cybersecurity</t>
  </si>
  <si>
    <t xml:space="preserve">Industry</t>
  </si>
  <si>
    <t xml:space="preserve">AI &amp; Cybersecurity Start-up Cluster (Sidi Abdallah)</t>
  </si>
  <si>
    <t xml:space="preserve">University-centric incubator bridging the industry-academia gap to accelerate the commercialization of research.</t>
  </si>
  <si>
    <t xml:space="preserve">2026-04-21</t>
  </si>
  <si>
    <t xml:space="preserve">Africa AI News</t>
  </si>
  <si>
    <t xml:space="preserve">https://www.africaainews.com/p/algeria-launches-first-ai-and-cybersecurity-v2</t>
  </si>
  <si>
    <t xml:space="preserve">General</t>
  </si>
  <si>
    <t xml:space="preserve">Academic Infrastructure</t>
  </si>
  <si>
    <t xml:space="preserve">Education</t>
  </si>
  <si>
    <t xml:space="preserve">Abdelhafid Ihaddaden Scientific and Technology Hub</t>
  </si>
  <si>
    <t xml:space="preserve">An 87-hectare science park housing core institutions like ENSIA to coordinate computer science research.</t>
  </si>
  <si>
    <t xml:space="preserve">Hub overview</t>
  </si>
  <si>
    <t xml:space="preserve">2024</t>
  </si>
  <si>
    <t xml:space="preserve">National Strategy</t>
  </si>
  <si>
    <t xml:space="preserve">National School of Artificial Intelligence (ENSIA)</t>
  </si>
  <si>
    <t xml:space="preserve">A specialized state academy established to stimulate academic research in AI and cultivate national engineering talent.</t>
  </si>
  <si>
    <t xml:space="preserve">Institution details</t>
  </si>
  <si>
    <t xml:space="preserve">2020</t>
  </si>
  <si>
    <t xml:space="preserve">AIWorld.eu (Country Profile)</t>
  </si>
  <si>
    <t xml:space="preserve">Aggregator</t>
  </si>
  <si>
    <t xml:space="preserve">https://www.aiworld.eu/geo/algeria</t>
  </si>
  <si>
    <t xml:space="preserve">CERIST</t>
  </si>
  <si>
    <t xml:space="preserve">Key scientific institution coordinating national university networks and research in basic scientific computing.</t>
  </si>
  <si>
    <t xml:space="preserve">Research profile</t>
  </si>
  <si>
    <t xml:space="preserve">2025</t>
  </si>
  <si>
    <t xml:space="preserve">Ecosystem Statistics</t>
  </si>
  <si>
    <t xml:space="preserve">Cross-sector</t>
  </si>
  <si>
    <t xml:space="preserve">CEPS AI World Country Profile (Algeria)</t>
  </si>
  <si>
    <t xml:space="preserve">Macroeconomic tracking index compiling national parameters such as the $7 million in annual AI investments.</t>
  </si>
  <si>
    <t xml:space="preserve">Ecosystem statistics</t>
  </si>
  <si>
    <t xml:space="preserve">2026-01-01</t>
  </si>
  <si>
    <t xml:space="preserve">$7,000,000</t>
  </si>
  <si>
    <t xml:space="preserve">Autonomous Logistics</t>
  </si>
  <si>
    <t xml:space="preserve">Startup</t>
  </si>
  <si>
    <t xml:space="preserve">Yassir</t>
  </si>
  <si>
    <t xml:space="preserve">A regional super-application deploying geospatial AI and route optimization engines for carpooling and logistics.</t>
  </si>
  <si>
    <t xml:space="preserve">Company Profile</t>
  </si>
  <si>
    <t xml:space="preserve">Not specified</t>
  </si>
  <si>
    <t xml:space="preserve">$150,000,000</t>
  </si>
  <si>
    <t xml:space="preserve">Company website (Yassir)</t>
  </si>
  <si>
    <t xml:space="preserve">https://yassir.com/</t>
  </si>
  <si>
    <t xml:space="preserve">Law 18-07 (Data Protection Authority)</t>
  </si>
  <si>
    <t xml:space="preserve">Enacted law and administrative authority designed to regulate personal data use and ensure compliance.</t>
  </si>
  <si>
    <t xml:space="preserve">Regulatory law text</t>
  </si>
  <si>
    <t xml:space="preserve">2023</t>
  </si>
  <si>
    <t xml:space="preserve">2026-07-10</t>
  </si>
  <si>
    <t xml:space="preserve">Africa Business Intelligence</t>
  </si>
  <si>
    <t xml:space="preserve">https://www.africa-bi.com/fr/article/actualite/algerie-transformation-digitale-l-enjeu-de-la-securite-et-de-la-protection-des-donnees</t>
  </si>
  <si>
    <t xml:space="preserve">Re-sourced: original Cambridge academic-survey citation confirmed accurate but was 2nd-hand; swapped to the primary news source the paper itself cites</t>
  </si>
  <si>
    <t xml:space="preserve">Egypt</t>
  </si>
  <si>
    <t xml:space="preserve">Egypt National AI Strategy (MCIT)</t>
  </si>
  <si>
    <t xml:space="preserve">State strategy focused on capacity building, talent training and AI applications in the public sector.</t>
  </si>
  <si>
    <t xml:space="preserve">Strategic document (PDF)</t>
  </si>
  <si>
    <t xml:space="preserve">2021-07-01</t>
  </si>
  <si>
    <t xml:space="preserve">Egyptian Government (MCIT)</t>
  </si>
  <si>
    <t xml:space="preserve">Primary (Government)</t>
  </si>
  <si>
    <t xml:space="preserve">https://ai.gov.eg/Egypt%20National%20AI%20Strategy-%20English.pdf</t>
  </si>
  <si>
    <t xml:space="preserve">Credit Scoring</t>
  </si>
  <si>
    <t xml:space="preserve">Synapse Analytics</t>
  </si>
  <si>
    <t xml:space="preserve">AI-based credit scoring engines and risk management algorithms that automate lending decisions.</t>
  </si>
  <si>
    <t xml:space="preserve">Product specifications</t>
  </si>
  <si>
    <t xml:space="preserve">2018</t>
  </si>
  <si>
    <t xml:space="preserve">$2,000,000</t>
  </si>
  <si>
    <t xml:space="preserve">Company website (Synapse Analytics)</t>
  </si>
  <si>
    <t xml:space="preserve">https://synapse-analytics.io/</t>
  </si>
  <si>
    <t xml:space="preserve">Verified: founded 2018 by Ahmed Abaza &amp; Galal El Beshbishy; flagship 'Konan' MLOps/AI credit-scoring platform; raised $2M (2024) led by Silicon Badia &amp; Hub71; Aug-2025 partnership with credit bureau iScore for an AI credit-decisioning platform. Funding updated Undisclosed -&gt; $2,000,000; ref date set to founding year.</t>
  </si>
  <si>
    <t xml:space="preserve">Venture Capital</t>
  </si>
  <si>
    <t xml:space="preserve">Investor</t>
  </si>
  <si>
    <t xml:space="preserve">Flat6Labs</t>
  </si>
  <si>
    <t xml:space="preserve">Prominent seed investor and accelerator of technology startups operating structured programs across Cairo.</t>
  </si>
  <si>
    <t xml:space="preserve">Investment portfolio</t>
  </si>
  <si>
    <t xml:space="preserve">Company website (Flat6Labs)</t>
  </si>
  <si>
    <t xml:space="preserve">https://www.flat6labs.com/</t>
  </si>
  <si>
    <t xml:space="preserve">Healthtech</t>
  </si>
  <si>
    <t xml:space="preserve">Imaging</t>
  </si>
  <si>
    <t xml:space="preserve">Healthcare</t>
  </si>
  <si>
    <t xml:space="preserve">Intixel</t>
  </si>
  <si>
    <t xml:space="preserve">Medical image processing software using AI to assist radiologists in the early detection of breast cancer.</t>
  </si>
  <si>
    <t xml:space="preserve">Undisclosed</t>
  </si>
  <si>
    <t xml:space="preserve">Company website (Intixel)</t>
  </si>
  <si>
    <t xml:space="preserve">https://intixel.com/</t>
  </si>
  <si>
    <t xml:space="preserve">Professional Networking</t>
  </si>
  <si>
    <t xml:space="preserve">BrainsMingle</t>
  </si>
  <si>
    <t xml:space="preserve">Professional  AI-powered networking platform integrating private in-house hubs for face-to-face interactions and live mentoring.</t>
  </si>
  <si>
    <t xml:space="preserve">LinkedIn</t>
  </si>
  <si>
    <t xml:space="preserve">https://www.linkedin.com/company/brainsmingle</t>
  </si>
  <si>
    <t xml:space="preserve">Semiconductors &amp; AI Infrastructure</t>
  </si>
  <si>
    <t xml:space="preserve">InfiniLink</t>
  </si>
  <si>
    <t xml:space="preserve">Development of high-speed optical transceiver engines for Ethernet, PCIe and AI applications (Acquired by GlobalFoundries).</t>
  </si>
  <si>
    <t xml:space="preserve">M&amp;A Acquisition Data</t>
  </si>
  <si>
    <t xml:space="preserve">2022</t>
  </si>
  <si>
    <t xml:space="preserve">https://www.linkedin.com/company/infinilink/</t>
  </si>
  <si>
    <t xml:space="preserve">Pharmaceutical Supply Chain</t>
  </si>
  <si>
    <t xml:space="preserve">Grinta</t>
  </si>
  <si>
    <t xml:space="preserve">End-to-end managed B2B marketplace using AI to trace medical products and empower independent local pharmacies.</t>
  </si>
  <si>
    <t xml:space="preserve">2021</t>
  </si>
  <si>
    <t xml:space="preserve">Crunchbase</t>
  </si>
  <si>
    <t xml:space="preserve">https://www.crunchbase.com/organization/grinta</t>
  </si>
  <si>
    <t xml:space="preserve">National Council of Artificial Intelligence</t>
  </si>
  <si>
    <t xml:space="preserve">Governmental body established to craft, structure, and oversee the execution of Egypt's national AI strategy.</t>
  </si>
  <si>
    <t xml:space="preserve">Government Policy Document</t>
  </si>
  <si>
    <t xml:space="preserve">2019</t>
  </si>
  <si>
    <t xml:space="preserve">Cambridge University Press (Data &amp; Policy journal)</t>
  </si>
  <si>
    <t xml:space="preserve">Secondary (Academic Survey)</t>
  </si>
  <si>
    <t xml:space="preserve">https://www.cambridge.org/core/journals/data-and-policy/article/exploring-ai-governance-in-the-middle-east-and-north-africa-mena-region-gaps-efforts-and-initiatives/867858AA465EEB06B5C43FF7048D8652</t>
  </si>
  <si>
    <t xml:space="preserve">Fetched and confirmed: paper states Egypt established National Council for AI in 2019</t>
  </si>
  <si>
    <t xml:space="preserve">Incubation</t>
  </si>
  <si>
    <t xml:space="preserve">The AI Campus (New Cairo)</t>
  </si>
  <si>
    <t xml:space="preserve">500-acre AI Campus at Sumou Boulevard, New Cairo, launched via an MoU between Orange Egypt and real-estate developer Paragon | Adeer, in partnership with Plug and Play's global innovation network. Orange Egypt leads smart digital infrastructure (5G, IoT, intelligent communications). Includes the "AI 100" program, a four-year initiative to support the creation of 100 AI startups in Egypt by 2030 through training, technical workshops, and investment-readiness support.</t>
  </si>
  <si>
    <t xml:space="preserve">Corporate Briefing</t>
  </si>
  <si>
    <t xml:space="preserve">2026-04-20</t>
  </si>
  <si>
    <t xml:space="preserve">2026-07-17</t>
  </si>
  <si>
    <t xml:space="preserve">Company website (Orange Egypt)</t>
  </si>
  <si>
    <t xml:space="preserve">https://www.orange.eg/en/about/media-center/press-kit/orange-and-paragon-development-partnership-891-event</t>
  </si>
  <si>
    <t xml:space="preserve">Ecosystem Event</t>
  </si>
  <si>
    <t xml:space="preserve">Ai Everything MEA (Egypt Edition)</t>
  </si>
  <si>
    <t xml:space="preserve">The Ai Everything MEA (Egypt Edition) hub acts as a cross-sector launchpad designed to accelerate collaborative AI research, startup scaling, and digital capacity-building across the Middle East and Africa. Aligned with Egypt's National AI Strategy, the hub focuses on key innovations like AI-as-a-Service (AIaaS) infrastructure, advanced data centers optimized for high-performance workloads, and predictive AI cybersecurity systems. Additionally, it features pioneering regional applications such as deep-tech solutions for enterprise digital supply chains, specialized biotech and digital healthcare diagnostics, and local large language models (LLMs)-cementing Cairo's role as a vital center for economic and societal transformation through AI.</t>
  </si>
  <si>
    <t xml:space="preserve">Exhibition Records</t>
  </si>
  <si>
    <t xml:space="preserve">2026</t>
  </si>
  <si>
    <t xml:space="preserve">2026-07-09</t>
  </si>
  <si>
    <t xml:space="preserve">Ai Everything MEA (event site)</t>
  </si>
  <si>
    <t xml:space="preserve">https://www.aieverything.com/</t>
  </si>
  <si>
    <t xml:space="preserve">NLP</t>
  </si>
  <si>
    <t xml:space="preserve">WideBot</t>
  </si>
  <si>
    <t xml:space="preserve">Platform for building Arabic-focused chatbots capable of detecting sentiment and slang nuances.</t>
  </si>
  <si>
    <t xml:space="preserve">Company website</t>
  </si>
  <si>
    <t xml:space="preserve">Company website (WideBot)</t>
  </si>
  <si>
    <t xml:space="preserve">https://widebot.net/</t>
  </si>
  <si>
    <t xml:space="preserve">Conversational AI</t>
  </si>
  <si>
    <t xml:space="preserve">Olimi AI</t>
  </si>
  <si>
    <t xml:space="preserve">Multilingual voice agents capable of handling complex customer calls in local Arabic dialects.</t>
  </si>
  <si>
    <t xml:space="preserve">https://www.crunchbase.com/organization/olimi</t>
  </si>
  <si>
    <t xml:space="preserve">Source Type corrected from 'Primary' to 'Aggregator' for consistency with other Crunchbase-sourced rows</t>
  </si>
  <si>
    <t xml:space="preserve">DXwand</t>
  </si>
  <si>
    <t xml:space="preserve">Generative AI platform used by contact centers to automate customer interactions with high accuracy.</t>
  </si>
  <si>
    <t xml:space="preserve">Company website (DXwand)</t>
  </si>
  <si>
    <t xml:space="preserve">https://www.dxwand.com/</t>
  </si>
  <si>
    <t xml:space="preserve">Source Name corrected to match URL domain</t>
  </si>
  <si>
    <t xml:space="preserve">Rology</t>
  </si>
  <si>
    <t xml:space="preserve">On-demand teleradiology platform integrating Artificial Intelligence directly into both the clinical and operational layers of teleradiology. connecting hospitals with remote radiologists using AI.</t>
  </si>
  <si>
    <t xml:space="preserve">Company website (Rology)</t>
  </si>
  <si>
    <t xml:space="preserve">https://rology.health/</t>
  </si>
  <si>
    <t xml:space="preserve">Diagnostics</t>
  </si>
  <si>
    <t xml:space="preserve">DilenyTech</t>
  </si>
  <si>
    <t xml:space="preserve">Specializes in AI-enabled breast imaging to improve cancer detection rates and reduce diagnostic errors.</t>
  </si>
  <si>
    <t xml:space="preserve">linkedin</t>
  </si>
  <si>
    <t xml:space="preserve">https://www.linkedin.com/company/dilenytech</t>
  </si>
  <si>
    <t xml:space="preserve">IRRI Vision</t>
  </si>
  <si>
    <t xml:space="preserve">Equips doctors with AI diagnostic tools to sharpen clinical decision-making. Acquired by Edafa VC.</t>
  </si>
  <si>
    <t xml:space="preserve">Deal Announcements</t>
  </si>
  <si>
    <t xml:space="preserve">Morocco World news</t>
  </si>
  <si>
    <t xml:space="preserve">https://www.moroccoworldnews.com/2026/02/278634/ai-everything-mea-egypt-concludes-with-real-world-ai-deployment-strong-message-of-regions-momentum/</t>
  </si>
  <si>
    <t xml:space="preserve">Source Type corrected to 'Aggregator'; recommend cross-checking against Edafa VC's own deal announcement</t>
  </si>
  <si>
    <t xml:space="preserve">Agritech</t>
  </si>
  <si>
    <t xml:space="preserve">Biotech</t>
  </si>
  <si>
    <t xml:space="preserve">Agriculture</t>
  </si>
  <si>
    <t xml:space="preserve">Al Protein</t>
  </si>
  <si>
    <t xml:space="preserve">Biotech startup using AI and IoT sensors to farm duckweed in desert environments for sustainable protein.</t>
  </si>
  <si>
    <t xml:space="preserve">https://www.crunchbase.com/organization/al-protein</t>
  </si>
  <si>
    <t xml:space="preserve">Precision Farming</t>
  </si>
  <si>
    <t xml:space="preserve">AgriCan</t>
  </si>
  <si>
    <t xml:space="preserve">AI and IoT-driven agricultural robotics startup founded in 2020 by Salem Ghanam, motivated by farmers suffering pesticide-related health issues. Pivoted from drone-based to ground-based robots in 2022. Deployed across 5,230 acres on 15+ Egyptian farms, expanded to UAE and Jordan. Offers precision pesticide spraying, portable plant disease detection, and greenhouse soil/salinity/CO2 monitoring. Represented Egypt at COP28; field trials showed 15% higher yields, 31% less pesticide use, 12% less labor.</t>
  </si>
  <si>
    <t xml:space="preserve">TechCabl</t>
  </si>
  <si>
    <t xml:space="preserve">https://techcabal.com/2025/03/26/agrican-robots-make-farming-smarter/</t>
  </si>
  <si>
    <t xml:space="preserve">Cleaned malformed source URL (removed leading ', ') so the citation is a valid clickable link.</t>
  </si>
  <si>
    <t xml:space="preserve">Karnak (formerly 'Arabic Brain')</t>
  </si>
  <si>
    <t xml:space="preserve">LLM trained on Egyptian and Arab data to ensure cultural relevance and data sovereignty.</t>
  </si>
  <si>
    <t xml:space="preserve">Official strategic document</t>
  </si>
  <si>
    <t xml:space="preserve">https://mcit.gov.eg/en/National_AI_Strategy</t>
  </si>
  <si>
    <t xml:space="preserve">Construction Tech</t>
  </si>
  <si>
    <t xml:space="preserve">Kuadra</t>
  </si>
  <si>
    <t xml:space="preserve">Applying AI and develops scalable SaaS solutions designed to structure workflows, integrate data, and improve decision-making for the planning and execution of large-scale construction projects. Acquired by Edafa VC.</t>
  </si>
  <si>
    <t xml:space="preserve">https://www.linkedin.com/company/kuadraai</t>
  </si>
  <si>
    <t xml:space="preserve">MNT-Halan</t>
  </si>
  <si>
    <t xml:space="preserve">FinTech unicorn utilizing advanced machine learning for credit scoring and fraud prevention.</t>
  </si>
  <si>
    <t xml:space="preserve">Company website (MNT-Halan)</t>
  </si>
  <si>
    <t xml:space="preserve">https://mnt-halan.com/</t>
  </si>
  <si>
    <t xml:space="preserve">Independently ranked #1 unicorn in Cairo by StartupBlink (startupblink.com/unicorn/mnt-halan), corroborating its FinTech-unicorn status.</t>
  </si>
  <si>
    <t xml:space="preserve">Logistics &amp; Transportation</t>
  </si>
  <si>
    <t xml:space="preserve">Trella</t>
  </si>
  <si>
    <t xml:space="preserve">AI-driven B2B technology platform connecting shippers with carriers, optimizing routes and pricing.</t>
  </si>
  <si>
    <t xml:space="preserve">$42,000,000</t>
  </si>
  <si>
    <t xml:space="preserve">https://www.crunchbase.com/organization/trella</t>
  </si>
  <si>
    <t xml:space="preserve">Tech Development</t>
  </si>
  <si>
    <t xml:space="preserve">ITIDA</t>
  </si>
  <si>
    <t xml:space="preserve">Executive IT arm of the Ministry of Communications fostering AI startup incubation and digital capacity building.</t>
  </si>
  <si>
    <t xml:space="preserve">Government Portal</t>
  </si>
  <si>
    <t xml:space="preserve">Egyptian Government (ITIDA)</t>
  </si>
  <si>
    <t xml:space="preserve">https://itida.gov.eg/</t>
  </si>
  <si>
    <t xml:space="preserve">Retail &amp; Supply Chain</t>
  </si>
  <si>
    <t xml:space="preserve">Brimore</t>
  </si>
  <si>
    <t xml:space="preserve">Social commerce platform leveraging machine learning to predict demand, optimize supply chain, and match distributors.</t>
  </si>
  <si>
    <t xml:space="preserve">2017</t>
  </si>
  <si>
    <t xml:space="preserve">$25,000,000</t>
  </si>
  <si>
    <t xml:space="preserve">https://www.crunchbase.com/organization/brimore</t>
  </si>
  <si>
    <t xml:space="preserve">Energy &amp; Utilities</t>
  </si>
  <si>
    <t xml:space="preserve">Energy</t>
  </si>
  <si>
    <t xml:space="preserve">KarmSolar</t>
  </si>
  <si>
    <t xml:space="preserve">Solar technology and integration company utilizing AI algorithms to optimize microgrid power distribution and solar yields.</t>
  </si>
  <si>
    <t xml:space="preserve">https://www.crunchbase.com/organization/karmsolar</t>
  </si>
  <si>
    <t xml:space="preserve">Lebanon</t>
  </si>
  <si>
    <t xml:space="preserve">National Digital Transformation and AI Strategy 2025-2030</t>
  </si>
  <si>
    <t xml:space="preserve">National strategy launched 7 Nov 2025 at the Lebanon Tech, AI and Innovation Summit by the Minister of State for Technology and AI, under the patronage of PM Nawaf Salam, covering digital government, AI adoption and ecosystem development.</t>
  </si>
  <si>
    <t xml:space="preserve">Government strategy</t>
  </si>
  <si>
    <t xml:space="preserve">2025-11-07</t>
  </si>
  <si>
    <t xml:space="preserve">2026-08-09</t>
  </si>
  <si>
    <t xml:space="preserve">Ministry of State for Technology and AI (MITAI)</t>
  </si>
  <si>
    <t xml:space="preserve">https://www.mitai.gov.lb/</t>
  </si>
  <si>
    <t xml:space="preserve">Launch date, minister (Kamal Shehadi) and summit venue corroborated by Levellers.ai country review; full strategy presentation published on mitai.gov.lb.</t>
  </si>
  <si>
    <t xml:space="preserve">Ministry of State for Technology and Artificial Intelligence (MITAI / OMSITAI)</t>
  </si>
  <si>
    <t xml:space="preserve">Ministerial office established in 2025 by the Salam government to lead Lebanon's digital transformation and AI agenda: national digital ID, digitised payments, data exchange and AI ecosystem building.</t>
  </si>
  <si>
    <t xml:space="preserve">Government body</t>
  </si>
  <si>
    <t xml:space="preserve">Consultancy-me</t>
  </si>
  <si>
    <t xml:space="preserve">https://www.consultancy-me.com/news/11533/lebanons-government-taps-roland-berger-to-help-advance-its-ai-ambitions</t>
  </si>
  <si>
    <t xml:space="preserve">OMSITAI - Roland Berger AI advisory partnership</t>
  </si>
  <si>
    <t xml:space="preserve">MoU under which Roland Berger (Beirut office) advises the government on AI-driven initiatives; reported alongside a planned $30-50M 2025-2026 investment in generative AI and digital public infrastructure (digital ID, payments, data exchange, 'Super App') with World Bank backing.</t>
  </si>
  <si>
    <t xml:space="preserve">MoU announcement</t>
  </si>
  <si>
    <t xml:space="preserve">2025-08</t>
  </si>
  <si>
    <t xml:space="preserve">Sectoral AI Strategy</t>
  </si>
  <si>
    <t xml:space="preserve">National AI Strategy in Lebanese Industry (2020-2050)</t>
  </si>
  <si>
    <t xml:space="preserve">Ministry of Industry framework for integrating AI into Lebanon's industrial sector (R&amp;D, smart production, competitiveness), building on the 2015 Integrated Vision for the Lebanese Industrial Sector.</t>
  </si>
  <si>
    <t xml:space="preserve">Strategic document</t>
  </si>
  <si>
    <t xml:space="preserve">Digital Watch Observatory</t>
  </si>
  <si>
    <t xml:space="preserve">https://dig.watch/resource/national-artificial-intelligence-strategy-in-lebanese-industry-2020-2050</t>
  </si>
  <si>
    <t xml:space="preserve">ESCWA Advisory Report - AI Strategy for Lebanon</t>
  </si>
  <si>
    <t xml:space="preserve">UN ESCWA advisory report, requested by the then Ministry of State for Investment and Technology Affairs, diagnosing Lebanon's AI readiness (SWOT, prerequisites) and proposing vision, strategic goals and phased policy recommendations.</t>
  </si>
  <si>
    <t xml:space="preserve">Advisory report</t>
  </si>
  <si>
    <t xml:space="preserve">UN ESCWA</t>
  </si>
  <si>
    <t xml:space="preserve">https://www.unescwa.org/sites/default/files/event/materials/advisory-report-development-artificial-intelligence-strategy-lebanon-en.pdf</t>
  </si>
  <si>
    <t xml:space="preserve">Digital Government</t>
  </si>
  <si>
    <t xml:space="preserve">OMSAR Digital Transformation Strategy (2020-2030)</t>
  </si>
  <si>
    <t xml:space="preserve">National digital transformation strategy approved in 2022 and led by the Office of the Minister of State for Administrative Reform, focused on e-government, digital identity and interoperability.</t>
  </si>
  <si>
    <t xml:space="preserve">Levellers.ai (country review)</t>
  </si>
  <si>
    <t xml:space="preserve">Secondary</t>
  </si>
  <si>
    <t xml:space="preserve">https://www.levellers.ai/what-is/ai-regulation-lebanon</t>
  </si>
  <si>
    <t xml:space="preserve">Not yet verified</t>
  </si>
  <si>
    <t xml:space="preserve">Single secondary source; recommend confirming against OMSAR's own publication.</t>
  </si>
  <si>
    <t xml:space="preserve">Startup Funding Framework</t>
  </si>
  <si>
    <t xml:space="preserve">BDL Circular 331</t>
  </si>
  <si>
    <t xml:space="preserve">2013 Banque du Liban scheme guaranteeing up to 75% of commercial banks' equity investments in knowledge-economy startups (~$400M envelope); the founding instrument of Lebanon's pre-crisis startup ecosystem, funding VCs and accelerators such as Berytech Fund II and Speed@BDD.</t>
  </si>
  <si>
    <t xml:space="preserve">Regulatory framework</t>
  </si>
  <si>
    <t xml:space="preserve">2013</t>
  </si>
  <si>
    <t xml:space="preserve">Wamda</t>
  </si>
  <si>
    <t xml:space="preserve">https://www.wamda.com/2017/05/lebanons-bdl-circular-birth-industry</t>
  </si>
  <si>
    <t xml:space="preserve">Largely inactive since the 2019 financial crisis; kept for historical context on ecosystem financing.</t>
  </si>
  <si>
    <t xml:space="preserve">Berytech</t>
  </si>
  <si>
    <t xml:space="preserve">Beirut innovation hub and incubator (originating from Universite Saint-Joseph) hosting and accelerating tech startups and managing venture funds for the Lebanese knowledge economy.</t>
  </si>
  <si>
    <t xml:space="preserve">Organization profile</t>
  </si>
  <si>
    <t xml:space="preserve">Company website (Berytech)</t>
  </si>
  <si>
    <t xml:space="preserve">https://berytech.org/</t>
  </si>
  <si>
    <t xml:space="preserve">Berytech Fund II</t>
  </si>
  <si>
    <t xml:space="preserve">Circular 331-compliant venture fund launched in Feb 2015 with commitments of over $50M to invest in Lebanese knowledge-economy startups.</t>
  </si>
  <si>
    <t xml:space="preserve">Fund launch announcement</t>
  </si>
  <si>
    <t xml:space="preserve">2015-02-25</t>
  </si>
  <si>
    <t xml:space="preserve">$50,000,000</t>
  </si>
  <si>
    <t xml:space="preserve">https://berytech.org/berytech-launches-berytech-fund-ii-to-support-the-lebanese-knowledge-economy/</t>
  </si>
  <si>
    <t xml:space="preserve">Funding figure is the fund's committed size, not a startup raise.</t>
  </si>
  <si>
    <t xml:space="preserve">Speed@BDD</t>
  </si>
  <si>
    <t xml:space="preserve">Beirut seed accelerator launched after Circular 331; by 2018 it had accelerated 34 startups that created ~500 jobs, with follow-on funding and exits including GITEX Supernova winner Spike.</t>
  </si>
  <si>
    <t xml:space="preserve">Program overview</t>
  </si>
  <si>
    <t xml:space="preserve">2015</t>
  </si>
  <si>
    <t xml:space="preserve">Executive Magazine</t>
  </si>
  <si>
    <t xml:space="preserve">https://www.executive-magazine.com/entrepreneurship/lebanese-startups-in-need-of-investments</t>
  </si>
  <si>
    <t xml:space="preserve">Beirut Digital District (BDD)</t>
  </si>
  <si>
    <t xml:space="preserve">Beirut technology and innovation cluster hosting startups, accelerators (incl. Speed@BDD) and tech companies, forming the physical core of the Lebanese startup ecosystem.</t>
  </si>
  <si>
    <t xml:space="preserve">Company website (BDD)</t>
  </si>
  <si>
    <t xml:space="preserve">https://beirutdigitaldistrict.com/</t>
  </si>
  <si>
    <t xml:space="preserve">Middle East Venture Partners (MEVP)</t>
  </si>
  <si>
    <t xml:space="preserve">Beirut-founded venture capital firm investing in early and growth-stage tech across the Middle East, one of the region's largest VCs and a Circular 331-era anchor investor.</t>
  </si>
  <si>
    <t xml:space="preserve">Investor profile</t>
  </si>
  <si>
    <t xml:space="preserve">IncubatorList</t>
  </si>
  <si>
    <t xml:space="preserve">https://incubatorlist.com/top-vcs-in-lebanon</t>
  </si>
  <si>
    <t xml:space="preserve">Well-known firm but sourced here only to an aggregator; confirm via mevp.com.</t>
  </si>
  <si>
    <t xml:space="preserve">B&amp;Y Venture Partners</t>
  </si>
  <si>
    <t xml:space="preserve">Beirut-based venture capital fund ('Founders Backing Founders') investing in early-stage technology startups from Lebanon and the region.</t>
  </si>
  <si>
    <t xml:space="preserve">UK Lebanon Tech Hub</t>
  </si>
  <si>
    <t xml:space="preserve">Non-profit UK-Lebanon initiative supporting the growth of Lebanon's tech ecosystem by connecting startups with mentors, investors and international resources.</t>
  </si>
  <si>
    <t xml:space="preserve">Startersss (accelerator directory)</t>
  </si>
  <si>
    <t xml:space="preserve">https://www.startersss.com/accelerators-post/accelerator-beirut</t>
  </si>
  <si>
    <t xml:space="preserve">AI Community / Ecosystem</t>
  </si>
  <si>
    <t xml:space="preserve">Beirut AI</t>
  </si>
  <si>
    <t xml:space="preserve">Lebanese non-profit (since 2017) and the country's largest applied-AI community: bootcamps, AI Weekend, hackathons and university workshops to make AI tools and knowledge accessible in Lebanon.</t>
  </si>
  <si>
    <t xml:space="preserve">Beirut AI (official site)</t>
  </si>
  <si>
    <t xml:space="preserve">https://beirutai.org/</t>
  </si>
  <si>
    <t xml:space="preserve">AI Education &amp; Consulting</t>
  </si>
  <si>
    <t xml:space="preserve">Zaka</t>
  </si>
  <si>
    <t xml:space="preserve">Beirut community-driven AI company (founded 2020) offering AI education programs (AI Bootcamp, SEEDS), corporate AI consulting and talent placement across MENA; Microsoft Global Training Partner with 110+ AI engineers graduated and 2,500+ upskilled.</t>
  </si>
  <si>
    <t xml:space="preserve">Company profile</t>
  </si>
  <si>
    <t xml:space="preserve">Company website (Zaka)</t>
  </si>
  <si>
    <t xml:space="preserve">https://zaka.ai/</t>
  </si>
  <si>
    <t xml:space="preserve">Autonomous Robotics</t>
  </si>
  <si>
    <t xml:space="preserve">Revotonix</t>
  </si>
  <si>
    <t xml:space="preserve">Founded 2018 and described as the first startup in the Arab region developing fully autonomous mobile robots and mechatronics solutions; operates in Lebanon, UAE and Germany across hospitality, healthcare and intralogistics.</t>
  </si>
  <si>
    <t xml:space="preserve">Beirut AI (team profile)</t>
  </si>
  <si>
    <t xml:space="preserve">https://beirutai.org/meet-the-team-meetups/</t>
  </si>
  <si>
    <t xml:space="preserve">Description drawn from a co-founder bio on Beirut AI's site; confirm against Revotonix's own materials.</t>
  </si>
  <si>
    <t xml:space="preserve">Surgical AI / AR</t>
  </si>
  <si>
    <t xml:space="preserve">Proximie</t>
  </si>
  <si>
    <t xml:space="preserve">Connected-surgery platform combining augmented reality, AI and ML to let surgeons virtually 'scrub in' to operating rooms worldwide; founded 2015-2016 by Lebanese surgeon Nadine Hachach-Haram, HQ London, ~$80M raised.</t>
  </si>
  <si>
    <t xml:space="preserve">2016</t>
  </si>
  <si>
    <t xml:space="preserve">$80,000,000</t>
  </si>
  <si>
    <t xml:space="preserve">Arab News</t>
  </si>
  <si>
    <t xml:space="preserve">https://www.arabnews.com/node/2567746/amp</t>
  </si>
  <si>
    <t xml:space="preserve">Lebanon-diaspora founded, HQ in London (same treatment as InstaDeep for Tunisia). Funding figure is cumulative, per Arab News.</t>
  </si>
  <si>
    <t xml:space="preserve">AI Trading</t>
  </si>
  <si>
    <t xml:space="preserve">Neotic</t>
  </si>
  <si>
    <t xml:space="preserve">Lebanese fintech providing AI-driven trade ideas and backtesting tools for stock market decision-making.</t>
  </si>
  <si>
    <t xml:space="preserve">Nucamp (ecosystem guide)</t>
  </si>
  <si>
    <t xml:space="preserve">https://www.nucamp.co/blog/coding-bootcamp-lebanon-lbn-government-the-complete-guide-to-using-ai-in-the-government-industry-in-lebanon-in-2025</t>
  </si>
  <si>
    <t xml:space="preserve">SEO-grade source; confirm against neotic.ai before relying on details.</t>
  </si>
  <si>
    <t xml:space="preserve">AI in Banking/Lending Software</t>
  </si>
  <si>
    <t xml:space="preserve">Bluering</t>
  </si>
  <si>
    <t xml:space="preserve">Beirut software company providing lending-automation and credit-decisioning platforms for banks, incorporating AI-based credit scoring.</t>
  </si>
  <si>
    <t xml:space="preserve">Autonomous Ag Robotics / CV</t>
  </si>
  <si>
    <t xml:space="preserve">LUXEED Robotics</t>
  </si>
  <si>
    <t xml:space="preserve">AUB-linked agritech startup building AI computer-vision systems for drones that distinguish weeds from crops in real time for targeted treatment; piloted with Lebanese vineyards and expanding to European organic farms.</t>
  </si>
  <si>
    <t xml:space="preserve">https://www.nucamp.co/blog/coding-bootcamp-lebanon-lbn-lebanons-top-10-startups-that-tech-professionals-should-watch-out-for-in-2025</t>
  </si>
  <si>
    <t xml:space="preserve">Source quotes ~LBP 15bn (~$1.5M) in grants/seed incl. Kafalat iSME; figure left Undisclosed pending a primary source.</t>
  </si>
  <si>
    <t xml:space="preserve">EdTech / Robotics</t>
  </si>
  <si>
    <t xml:space="preserve">Cherpa</t>
  </si>
  <si>
    <t xml:space="preserve">Beirut edtech platform teaching robotics, coding and AI through project-based virtual missions, preparing students for technology careers.</t>
  </si>
  <si>
    <t xml:space="preserve">StartupBlink</t>
  </si>
  <si>
    <t xml:space="preserve">https://www.startupblink.com/top-startups/beirut-lb</t>
  </si>
  <si>
    <t xml:space="preserve">Public Startup Financing</t>
  </si>
  <si>
    <t xml:space="preserve">Kafalat iSME</t>
  </si>
  <si>
    <t xml:space="preserve">State-backed equity co-investment and grant program for innovative Lebanese SMEs and startups; among the most active early-stage funders in the country (58 rounds per Tracxn).</t>
  </si>
  <si>
    <t xml:space="preserve">Tracxn</t>
  </si>
  <si>
    <t xml:space="preserve">https://tracxn.com/d/geographies/lebanon/__y_ABi6FaHH7l8ygqHM_jTAMLnK5mXJQ7pl-DyBmVN4M</t>
  </si>
  <si>
    <t xml:space="preserve">Confirm program status post-crisis via kafalat.com.lb.</t>
  </si>
  <si>
    <t xml:space="preserve">Music / Recommendation AI</t>
  </si>
  <si>
    <t xml:space="preserve">Anghami</t>
  </si>
  <si>
    <t xml:space="preserve">Music-streaming platform founded in Beirut in 2012, using ML-driven recommendation and personalization; first Arab tech company listed on Nasdaq (2021), HQ since relocated to Abu Dhabi.</t>
  </si>
  <si>
    <t xml:space="preserve">2012</t>
  </si>
  <si>
    <t xml:space="preserve">Lebanon-founded, HQ relocated to UAE; AI is a feature layer rather than the core product - flagged for a scope decision.</t>
  </si>
  <si>
    <t xml:space="preserve">Morocco</t>
  </si>
  <si>
    <t xml:space="preserve">Soil Diagnostics</t>
  </si>
  <si>
    <t xml:space="preserve">Sand to Green</t>
  </si>
  <si>
    <t xml:space="preserve">Proprietary AI and satellite analysis (RegenWise) for monitoring arid soil restoration and carbon sequestration.using machine learning to solve the highly complex, unpredictable problem of desertification and soil degradation at a global scale</t>
  </si>
  <si>
    <t xml:space="preserve">$1,000,000</t>
  </si>
  <si>
    <t xml:space="preserve">Company website (Sand to Green)</t>
  </si>
  <si>
    <t xml:space="preserve">https://sandtogreen.com/</t>
  </si>
  <si>
    <t xml:space="preserve">DeepEcho</t>
  </si>
  <si>
    <t xml:space="preserve">Deep learning algorithms trained on fetal ultrasound videos to detect congenital malformations.</t>
  </si>
  <si>
    <t xml:space="preserve">Clinical trial validation</t>
  </si>
  <si>
    <t xml:space="preserve">2025-11-10</t>
  </si>
  <si>
    <t xml:space="preserve">Company website (DeepEcho)</t>
  </si>
  <si>
    <t xml:space="preserve">https://deepecho.io/</t>
  </si>
  <si>
    <t xml:space="preserve">Digital Morocco 2030 (National AI Synthesis)</t>
  </si>
  <si>
    <t xml:space="preserve">Synthesis report from Morocco's First National AI Conference (Rabat, July 1-2, 2025), establishing eight foundational strategic pillars (trust &amp; governance, sovereign infrastructure, human capital, innovation &amp; local AI production, financing &amp; adoption, international cooperation, inclusion, concrete action) and recommendations toward a future comprehensive National AI Strategy. The report's own recommendations section calls for Morocco to "design a comprehensive roadmap for AI" as a next step - as of this report, a finalized, formally adopted national AI strategy does not yet exist; this conference establishes its foundational direction.</t>
  </si>
  <si>
    <t xml:space="preserve">2025-09-01</t>
  </si>
  <si>
    <t xml:space="preserve">2026-07-18 00:00:00</t>
  </si>
  <si>
    <t xml:space="preserve">$1,200,000,000 (UNCONFIRMED - see note)</t>
  </si>
  <si>
    <t xml:space="preserve">Ministry of Digital Transition (MMSP)</t>
  </si>
  <si>
    <t xml:space="preserve">https://www.mmsp.gov.ma/sites/default/files/2025-09/Rapport%20de%20Synthe%CC%80se%20ANG.pdf</t>
  </si>
  <si>
    <t xml:space="preserve">UM6P Ventures</t>
  </si>
  <si>
    <t xml:space="preserve">early-stage investment arm of University Mohammed VI Polytechnic, backed by OCP Group, focusing on advancing scientific and tech-driven innovations in Africa through Digital Transformation and Deeptech funds. The firm supports startups in AgTech, GreenTech, HealthTech, and Industry and AI, offering capital, infrastructure, and programs like Plug and Play Morocco and U-Foundersh .</t>
  </si>
  <si>
    <t xml:space="preserve">2021-04-01</t>
  </si>
  <si>
    <t xml:space="preserve">Company website (UM6P Ventures)</t>
  </si>
  <si>
    <t xml:space="preserve">https://um6pventures.com/</t>
  </si>
  <si>
    <t xml:space="preserve">Technopark Morocco</t>
  </si>
  <si>
    <t xml:space="preserve">National network of incubators hosting local AI innovators with centers in Casablanca, Rabat, Tangier and Agadir.</t>
  </si>
  <si>
    <t xml:space="preserve">Directory of incubators</t>
  </si>
  <si>
    <t xml:space="preserve">Company website (Technopark)</t>
  </si>
  <si>
    <t xml:space="preserve">https://www.technopark.ma/</t>
  </si>
  <si>
    <t xml:space="preserve">Remote Sensing</t>
  </si>
  <si>
    <t xml:space="preserve">SOWIT</t>
  </si>
  <si>
    <t xml:space="preserve">Combining satellite remote sensing and soil sensors with agronomic AI models to optimize irrigation.</t>
  </si>
  <si>
    <t xml:space="preserve">2026-05-24</t>
  </si>
  <si>
    <t xml:space="preserve">Company website (SOWIT)</t>
  </si>
  <si>
    <t xml:space="preserve">https://sowit.co/</t>
  </si>
  <si>
    <t xml:space="preserve">Logistics &amp; Retail</t>
  </si>
  <si>
    <t xml:space="preserve">KubicBits</t>
  </si>
  <si>
    <t xml:space="preserve">SaaS platform (KubicFleet) and AI-driven autonomous multi-agent architecture solutions for the management of logistics fleets.</t>
  </si>
  <si>
    <t xml:space="preserve">Start-up website</t>
  </si>
  <si>
    <t xml:space="preserve">https://www.start-up.ma/liste-startups-au-maroc/kubicbits/</t>
  </si>
  <si>
    <t xml:space="preserve">IoT Infrastructure</t>
  </si>
  <si>
    <t xml:space="preserve">ABA Technology</t>
  </si>
  <si>
    <t xml:space="preserve">Artificial intelligence infrastructures applied to the Internet of Things (IoT) for connecting and analyzing data in smart cities.</t>
  </si>
  <si>
    <t xml:space="preserve">Ecosystem Profile</t>
  </si>
  <si>
    <t xml:space="preserve">2026-04-01</t>
  </si>
  <si>
    <t xml:space="preserve">Company website (ABA Technology)</t>
  </si>
  <si>
    <t xml:space="preserve">https://aba.technology/</t>
  </si>
  <si>
    <t xml:space="preserve">Rally AI Future Lab (Jazari Institute)</t>
  </si>
  <si>
    <t xml:space="preserve">Intensive program and innovation lab deployed in Merzouga aimed at training local talent to develop "Made in Morocco" AI solutions.</t>
  </si>
  <si>
    <t xml:space="preserve">2026-06-16</t>
  </si>
  <si>
    <t xml:space="preserve">https://www.africaainews.com/p/morocco-launches-rally-ai-future</t>
  </si>
  <si>
    <t xml:space="preserve">AL-KHAWARIZMI R&amp;D Program</t>
  </si>
  <si>
    <t xml:space="preserve">Government program allocating 50 million dirhams to encourage applied scientific research in AI and its applications.</t>
  </si>
  <si>
    <t xml:space="preserve">Agence de developpement digital (ADD)</t>
  </si>
  <si>
    <t xml:space="preserve">https://www.add.gov.ma/programme-al-khawarizmi</t>
  </si>
  <si>
    <t xml:space="preserve">School of AI in Fes (EIDIA)</t>
  </si>
  <si>
    <t xml:space="preserve">Academic institution established to advance AI education, training, and human capital development.</t>
  </si>
  <si>
    <t xml:space="preserve">Jeune Afrique</t>
  </si>
  <si>
    <t xml:space="preserve">https://www.jeuneafrique.com/emploi-formation/810532/maroc-une-nouvelle-ecole-dintelligence-artificielle-a-fes/</t>
  </si>
  <si>
    <t xml:space="preserve">AI Movement (UM6P)</t>
  </si>
  <si>
    <t xml:space="preserve">Academic and research center aiming to strategically position Morocco as a regional hub for impactful AI.</t>
  </si>
  <si>
    <t xml:space="preserve">AI Infrastructure</t>
  </si>
  <si>
    <t xml:space="preserve">UM6P Data Center and Supercomputer</t>
  </si>
  <si>
    <t xml:space="preserve">Tier III and Tier IV certified data center housing the most powerful supercomputer in Africa.</t>
  </si>
  <si>
    <t xml:space="preserve">Flat6Labs Morocco (with Tamwilcom)</t>
  </si>
  <si>
    <t xml:space="preserve">MENA seed/early-stage VC firm's first Morocco expansion, an accelerator targeting AgriTech, FinTech, GreenTech, AI and digital health startups, run with public financial institution Tamwilcom.</t>
  </si>
  <si>
    <t xml:space="preserve">2025-04-28</t>
  </si>
  <si>
    <t xml:space="preserve">Tech In Africa</t>
  </si>
  <si>
    <t xml:space="preserve">https://www.techinafrica.com/flat6labs-and-tamwilcom-launch-accelerator-to-fuel-moroccos-tech-startup-ecosystem/</t>
  </si>
  <si>
    <t xml:space="preserve">Tunisia</t>
  </si>
  <si>
    <t xml:space="preserve">Decision-Support</t>
  </si>
  <si>
    <t xml:space="preserve">InstaDeep</t>
  </si>
  <si>
    <t xml:space="preserve">Scalable AI decision support systems using deep reinforcement learning to optimize logistics and biotechnology.</t>
  </si>
  <si>
    <t xml:space="preserve">Company presentation</t>
  </si>
  <si>
    <t xml:space="preserve">2023-01-25</t>
  </si>
  <si>
    <t xml:space="preserve">2026-07-27</t>
  </si>
  <si>
    <t xml:space="preserve">$100,000,000</t>
  </si>
  <si>
    <t xml:space="preserve">Company website (InstaDeep)</t>
  </si>
  <si>
    <t xml:space="preserve">https://www.instadeep.com/</t>
  </si>
  <si>
    <t xml:space="preserve">Re-confirmed via dedicated research pass: Tunisia-founded (2014), HQ London, BioNTech acquisition ~$684M (Bloomberg).</t>
  </si>
  <si>
    <t xml:space="preserve">SaaS</t>
  </si>
  <si>
    <t xml:space="preserve">Cynoia</t>
  </si>
  <si>
    <t xml:space="preserve">AI-powered unified workspace software that consolidates communications and project tracking algorithms.</t>
  </si>
  <si>
    <t xml:space="preserve">SaaS Specifications</t>
  </si>
  <si>
    <t xml:space="preserve">$930,000</t>
  </si>
  <si>
    <t xml:space="preserve">Company website (Cynoia)</t>
  </si>
  <si>
    <t xml:space="preserve">https://cynoia.com/</t>
  </si>
  <si>
    <t xml:space="preserve">216 Capital</t>
  </si>
  <si>
    <t xml:space="preserve">Venture capital firm (pre-seed and seed) focused on supporting tech and AI entrepreneurs in Southern Europe and Africa.</t>
  </si>
  <si>
    <t xml:space="preserve">Fund settings</t>
  </si>
  <si>
    <t xml:space="preserve">Company website (216 Capital)</t>
  </si>
  <si>
    <t xml:space="preserve">https://216capital.vc/</t>
  </si>
  <si>
    <t xml:space="preserve">Tunisia Startup Act (Smart Capital)</t>
  </si>
  <si>
    <t xml:space="preserve">State-backed legal framework offering license exemptions and tax incentives for certified innovators.</t>
  </si>
  <si>
    <t xml:space="preserve">2018-04-01</t>
  </si>
  <si>
    <t xml:space="preserve">Smart Capital (Tunisia Startup Act portal)</t>
  </si>
  <si>
    <t xml:space="preserve">https://startup.smartcapital.tn/</t>
  </si>
  <si>
    <t xml:space="preserve">iCompass</t>
  </si>
  <si>
    <t xml:space="preserve">Natural language processing modules and TunBERT models for the analysis of low-resource Arabic dialects.</t>
  </si>
  <si>
    <t xml:space="preserve">SaaS Product Profile</t>
  </si>
  <si>
    <t xml:space="preserve">2021-11-17</t>
  </si>
  <si>
    <t xml:space="preserve">InstaDeep (official announcement) / Disrupt Africa</t>
  </si>
  <si>
    <t xml:space="preserve">https://instadeep.com/2021/06/instadeep-and-icompass-open-source-world-first-tunisian-dialect-ai-language-model-to-encourage-innovation/</t>
  </si>
  <si>
    <t xml:space="preserve">Verified: iCompass (founded 2019, Tunis; Hatem Haddad &amp; Ahmed Nouisser) built TunBERT with InstaDeep - the first NLP language model for Tunisian dialect - open-sourced June 2021 (GitHub iCompass-ai/TunBERT). Source upgraded from euroquity to InstaDeep's official announcement.</t>
  </si>
  <si>
    <t xml:space="preserve">Enova Robotics</t>
  </si>
  <si>
    <t xml:space="preserve">Manufacturing and design of robust autonomous security robots (PGuard) and open-source MiniLab research platforms.</t>
  </si>
  <si>
    <t xml:space="preserve">Funding history</t>
  </si>
  <si>
    <t xml:space="preserve">2018-09-17</t>
  </si>
  <si>
    <t xml:space="preserve">$1,600,000</t>
  </si>
  <si>
    <t xml:space="preserve">MenaBytes</t>
  </si>
  <si>
    <t xml:space="preserve">https://www.menabytes.com/enova-robotics-1-6-million/</t>
  </si>
  <si>
    <t xml:space="preserve">Confirmed via dedicated research pass: Sousse robotics firm (founded 2014), AI genuinely embedded (facial recognition, autonomy) in PGUARD security robot.</t>
  </si>
  <si>
    <t xml:space="preserve">Tunisia AI Roadmap</t>
  </si>
  <si>
    <t xml:space="preserve">National strategic roadmap setting out key objectives and action plans for ethical and localized AI development.</t>
  </si>
  <si>
    <t xml:space="preserve">OECD Index</t>
  </si>
  <si>
    <t xml:space="preserve">https://aiworld.eu/geo/tunisia</t>
  </si>
  <si>
    <t xml:space="preserve">SaaS Marketing</t>
  </si>
  <si>
    <t xml:space="preserve">Easy Ads</t>
  </si>
  <si>
    <t xml:space="preserve">AI-powered digital advertising optimization engines designed to help SMEs deploy targeted campaigns.</t>
  </si>
  <si>
    <t xml:space="preserve">News summaries</t>
  </si>
  <si>
    <t xml:space="preserve">INSAT</t>
  </si>
  <si>
    <t xml:space="preserve">A top-level technical university anchoring scientific research, engineering training and AI incubation programs.</t>
  </si>
  <si>
    <t xml:space="preserve">Academic framework</t>
  </si>
  <si>
    <t xml:space="preserve">Pristini School of AI</t>
  </si>
  <si>
    <t xml:space="preserve">First university to specialize entirely in Artificial Intelligence education in Tunisia and Africa.</t>
  </si>
  <si>
    <t xml:space="preserve">Pristini AI University (official site)</t>
  </si>
  <si>
    <t xml:space="preserve">https://www.pristiniaiuniversity.tn/fr</t>
  </si>
  <si>
    <t xml:space="preserve">Standards Framework</t>
  </si>
  <si>
    <t xml:space="preserve">AGRIVET SMART</t>
  </si>
  <si>
    <t xml:space="preserve">Standards framework finalized by the National Council of the Order of Veterinarians providing guidelines for AI in Agrifood.</t>
  </si>
  <si>
    <t xml:space="preserve">AI Data Center / Infrastructure</t>
  </si>
  <si>
    <t xml:space="preserve">Nexus Core Systems AI Factory</t>
  </si>
  <si>
    <t xml:space="preserve">US firm Nexus Core Systems signed a $1.28bn MoU with Moroccan authorities at GITEX Africa 2026 to build a renewable-powered 'AI Factory' (HPC data centre, phase-1 ~16-40MW in Nouaceur, scaling toward 500MW) with Nvidia (Blackwell GB200), Naver and Lloyd Capital.</t>
  </si>
  <si>
    <t xml:space="preserve">Investment / MoU announcement</t>
  </si>
  <si>
    <t xml:space="preserve">2026-04</t>
  </si>
  <si>
    <t xml:space="preserve">$1,280,000,000</t>
  </si>
  <si>
    <t xml:space="preserve">Ecofin Agency (corroborated by Developing Telecoms, MoroccoWorldNews)</t>
  </si>
  <si>
    <t xml:space="preserve">https://www.ecofinagency.com/news/1304-54600-morocco-signs-1-28-billion-mou-to-build-ai-factory</t>
  </si>
  <si>
    <t xml:space="preserve">NLP / Customer Experience</t>
  </si>
  <si>
    <t xml:space="preserve">ToumAI Analytics</t>
  </si>
  <si>
    <t xml:space="preserve">Startup (founded 2021) building NLP that analyses African and Arabic dialects to improve customer experience; raised $1M pre-seed (Feb 2025) led by Launch Africa Ventures.</t>
  </si>
  <si>
    <t xml:space="preserve">Funding announcement</t>
  </si>
  <si>
    <t xml:space="preserve">2025-02</t>
  </si>
  <si>
    <t xml:space="preserve">LaunchBase Africa</t>
  </si>
  <si>
    <t xml:space="preserve">https://launchbaseafrica.com/2025/02/10/moroccan-ai-spin-off-toumai-secures-1-million-in-pre-seed-funding/</t>
  </si>
  <si>
    <t xml:space="preserve">Autonomous Drones / Computer Vision</t>
  </si>
  <si>
    <t xml:space="preserve">Maritime</t>
  </si>
  <si>
    <t xml:space="preserve">ATLAN Space</t>
  </si>
  <si>
    <t xml:space="preserve">Rabat startup (founded 2016) using AI for fully autonomous UAV/drone missions in environmental and marine monitoring; raised $1.1M Series A (Nov 2020) led by Maroc Numeric Fund II.</t>
  </si>
  <si>
    <t xml:space="preserve">2020-11</t>
  </si>
  <si>
    <t xml:space="preserve">$1,100,000</t>
  </si>
  <si>
    <t xml:space="preserve">Disrupt Africa</t>
  </si>
  <si>
    <t xml:space="preserve">https://disruptafrica.com/2020/11/05/moroccan-startup-atlan-space-raises-1-1m-series-a-round/</t>
  </si>
  <si>
    <t xml:space="preserve">AI Diagnostics / Digital Pathology</t>
  </si>
  <si>
    <t xml:space="preserve">DataPathology</t>
  </si>
  <si>
    <t xml:space="preserve">Founded 2020; uses AI and digital pathology for faster, more accurate cancer diagnosis (incl. cervical cancer) in underserved regions; raised $1M from Azur Innovation Fund (2023).</t>
  </si>
  <si>
    <t xml:space="preserve">2023-05</t>
  </si>
  <si>
    <t xml:space="preserve">https://www.wamda.com/2023/05/moroccan-healthtech-datapathology-raises-1-million-azur-innovation-fund</t>
  </si>
  <si>
    <t xml:space="preserve">eKYC / Identity</t>
  </si>
  <si>
    <t xml:space="preserve">Indatacore</t>
  </si>
  <si>
    <t xml:space="preserve">Casablanca startup (founded 2016) providing deep-learning eKYC (face matching, liveness detection, document analysis) for financial institutions.</t>
  </si>
  <si>
    <t xml:space="preserve">2026-07-26</t>
  </si>
  <si>
    <t xml:space="preserve">Lucidity Insights</t>
  </si>
  <si>
    <t xml:space="preserve">https://lucidityinsights.com/startups/indatacore-18054</t>
  </si>
  <si>
    <t xml:space="preserve">Confirmed via dedicated research pass: real Casablanca eKYC/facial-recognition AI company, founded 2016.</t>
  </si>
  <si>
    <t xml:space="preserve">Insurtech / Computer Vision</t>
  </si>
  <si>
    <t xml:space="preserve">SYGMA.AI</t>
  </si>
  <si>
    <t xml:space="preserve">Moroccan startup offering an AI/ML solution that detects vehicle damage and estimates repair cost from a single photo.</t>
  </si>
  <si>
    <t xml:space="preserve">Atlas Magazine</t>
  </si>
  <si>
    <t xml:space="preserve">https://www.atlas-mag.net/en/category/pays/maroc/sygma-ai-to-assess-motor-vehicle-damage-using-photos</t>
  </si>
  <si>
    <t xml:space="preserve">Confirmed via dedicated research pass. Note: multiple unrelated 'Sygma' entities exist - confirmed this refers to the Moroccan car-damage-assessment AI company.</t>
  </si>
  <si>
    <t xml:space="preserve">National AI Strategy</t>
  </si>
  <si>
    <t xml:space="preserve">Maroc IA 2030 (AI Made in Morocco)</t>
  </si>
  <si>
    <t xml:space="preserve">National AI strategy led by the Ministry of Digital Transition, targeting a MAD 100bn GDP contribution, 50,000 AI jobs and 200,000 people trained by 2030, with a Jazari Institutes network, National Data Factory and sovereign cloud.</t>
  </si>
  <si>
    <t xml:space="preserve">Middle East AI News</t>
  </si>
  <si>
    <t xml:space="preserve">https://www.middleeastainews.com/p/new-ai-made-in-morocco-strategy</t>
  </si>
  <si>
    <t xml:space="preserve">MoroccoAI (Moroccan AI Society)</t>
  </si>
  <si>
    <t xml:space="preserve">Professional AI community focused on education, research and innovation; organises the annual MoroccoAI conference and meetups.</t>
  </si>
  <si>
    <t xml:space="preserve">MoroccoAI</t>
  </si>
  <si>
    <t xml:space="preserve">https://morocco.ai/</t>
  </si>
  <si>
    <t xml:space="preserve">Tech / AI Trade Show</t>
  </si>
  <si>
    <t xml:space="preserve">GITEX Africa (Marrakech)</t>
  </si>
  <si>
    <t xml:space="preserve">Africa's largest tech and startup trade show, held annually in Marrakech under royal patronage; AI and digital infrastructure were headline themes at the 2025 and 2026 editions.</t>
  </si>
  <si>
    <t xml:space="preserve">Event</t>
  </si>
  <si>
    <t xml:space="preserve">2025-04</t>
  </si>
  <si>
    <t xml:space="preserve">TechAfrica News</t>
  </si>
  <si>
    <t xml:space="preserve">https://techafricanews.com/2025/03/18/gitex-africa-morocco-2025-africas-tech-powerhouse-returns-bigger-than-ever/</t>
  </si>
  <si>
    <t xml:space="preserve">Startup Accelerator</t>
  </si>
  <si>
    <t xml:space="preserve">Plug and Play Morocco</t>
  </si>
  <si>
    <t xml:space="preserve">Casablanca accelerator (est. 2024) offering equity-free grants up to $50,000 to founders in sectors including AI, healthtech and smart cities.</t>
  </si>
  <si>
    <t xml:space="preserve">Plug and Play Tech Center</t>
  </si>
  <si>
    <t xml:space="preserve">https://www.plugandplaytechcenter.com/locations/casablanca/morocco-accelerator</t>
  </si>
  <si>
    <t xml:space="preserve">AI/ML Event</t>
  </si>
  <si>
    <t xml:space="preserve">Deep Learning IndabaX Morocco</t>
  </si>
  <si>
    <t xml:space="preserve">Moroccan national chapter of the Deep Learning Indaba, running annual machine-learning / deep-learning conferences and workshops.</t>
  </si>
  <si>
    <t xml:space="preserve">IndabaX Morocco</t>
  </si>
  <si>
    <t xml:space="preserve">https://indabaxmorocco.github.io/</t>
  </si>
  <si>
    <t xml:space="preserve">Confirmed via dedicated research pass: real event under the pan-African Deep Learning Indaba.</t>
  </si>
  <si>
    <t xml:space="preserve">Azur Innovation Fund</t>
  </si>
  <si>
    <t xml:space="preserve">Casablanca-based VC investing in high-impact tech; led the $1M round into AI healthtech startup DataPathology.</t>
  </si>
  <si>
    <t xml:space="preserve">Maroc Numeric Fund II (MNF Ventures)</t>
  </si>
  <si>
    <t xml:space="preserve">Moroccan VC (MNF Ventures, formerly MITC Capital) backing seed/Series A tech; led ATLAN Space's AI Series A round.</t>
  </si>
  <si>
    <t xml:space="preserve">AI Pharmacy / e-Health</t>
  </si>
  <si>
    <t xml:space="preserve">Chefaa</t>
  </si>
  <si>
    <t xml:space="preserve">Founded 2017; AI-powered chronic-medication and pharmacy-delivery platform matching patients to pharmacies.</t>
  </si>
  <si>
    <t xml:space="preserve">The Startup Scene ME</t>
  </si>
  <si>
    <t xml:space="preserve">https://thestartupscene.me/INVESTMENTS/Egyptian-Healthtech-Chefaa-Raises-Undisclosed-Venture-Round</t>
  </si>
  <si>
    <t xml:space="preserve">Embedded / Revenue-Based Financing</t>
  </si>
  <si>
    <t xml:space="preserve">FlapKap</t>
  </si>
  <si>
    <t xml:space="preserve">Egypt-born fintech providing revenue-based and embedded financing to SMEs using AI credit models built on open-banking and alternative data; raised $34M pre-Series A (2024).</t>
  </si>
  <si>
    <t xml:space="preserve">2024-09</t>
  </si>
  <si>
    <t xml:space="preserve">$34,000,000</t>
  </si>
  <si>
    <t xml:space="preserve">https://www.wamda.com/2024/09/flapkap-secures-34-million-pre-series-a-mix-debt-equity</t>
  </si>
  <si>
    <t xml:space="preserve">Arabic Speech AI / NLP</t>
  </si>
  <si>
    <t xml:space="preserve">Intella</t>
  </si>
  <si>
    <t xml:space="preserve">Egyptian-founded (2021) dialectal-Arabic speech-AI company; transcription/analytics across 25+ Arabic dialects; raised $12.5M Series A (2025).</t>
  </si>
  <si>
    <t xml:space="preserve">$12,500,000</t>
  </si>
  <si>
    <t xml:space="preserve">MENAbytes</t>
  </si>
  <si>
    <t xml:space="preserve">https://www.menabytes.com/intella-series-a/</t>
  </si>
  <si>
    <t xml:space="preserve">Arabic AI Agents / Automation</t>
  </si>
  <si>
    <t xml:space="preserve">Nanovate</t>
  </si>
  <si>
    <t xml:space="preserve">Cairo AI startup (founded 2025) building Arabic-language AI tools - chat and voice agents, CRM/ERP integrations and no-code deployment; raised $2M pre-seed.</t>
  </si>
  <si>
    <t xml:space="preserve">https://disruptafrica.com/2025/11/21/how-egypts-nanovate-is-using-ai-to-help-mena-businesses-work-smarter-in-their-own-language/</t>
  </si>
  <si>
    <t xml:space="preserve">Martech / AdTech AI</t>
  </si>
  <si>
    <t xml:space="preserve">Convertedin</t>
  </si>
  <si>
    <t xml:space="preserve">Founded 2019; marketing operating system for e-commerce using data and AI to generate personalised multi-channel campaigns; raised $3M seed (2022, Merak Capital &amp; 500 Global).</t>
  </si>
  <si>
    <t xml:space="preserve">2022-08</t>
  </si>
  <si>
    <t xml:space="preserve">$3,000,000</t>
  </si>
  <si>
    <t xml:space="preserve">https://www.wamda.com/2022/08/egypt-convertedin-raises-3-million-seed-round</t>
  </si>
  <si>
    <t xml:space="preserve">AI Credit Scoring</t>
  </si>
  <si>
    <t xml:space="preserve">Cassbana</t>
  </si>
  <si>
    <t xml:space="preserve">Egyptian fintech using AI/ML behaviour-based credit scoring to build financial identities for the unbanked; raised $1M pre-seed (2021).</t>
  </si>
  <si>
    <t xml:space="preserve">2021-01</t>
  </si>
  <si>
    <t xml:space="preserve">https://disruptafrica.com/2021/01/11/egyptian-fintech-startup-cassbana-raises-1m-pre-seed-funding-round/</t>
  </si>
  <si>
    <t xml:space="preserve">Government AI Research Center</t>
  </si>
  <si>
    <t xml:space="preserve">Applied Innovation Center (AIC) - MCIT</t>
  </si>
  <si>
    <t xml:space="preserve">National applied-research centre established by MCIT (April 2020) developing AI applications in healthcare, agriculture, transport and digital identity; works with UNDP and on Arabic LLMs.</t>
  </si>
  <si>
    <t xml:space="preserve">Government body / research center</t>
  </si>
  <si>
    <t xml:space="preserve">2020-04</t>
  </si>
  <si>
    <t xml:space="preserve">OECD.AI</t>
  </si>
  <si>
    <t xml:space="preserve">https://oecd.ai/en/dashboards/policy-initiatives/applied-innovation-center-8245</t>
  </si>
  <si>
    <t xml:space="preserve">Egypt National AI Strategy - 2nd Edition (2025-2030)</t>
  </si>
  <si>
    <t xml:space="preserve">Second edition unveiled Jan 2025; six pillars (governance, technology, data, infrastructure, ecosystem, capacity) targeting 7.7% ICT GDP contribution, 30,000 AI experts and 250+ AI startups by 2030.</t>
  </si>
  <si>
    <t xml:space="preserve">2025-01</t>
  </si>
  <si>
    <t xml:space="preserve">Government of Egypt (ai.gov.eg)</t>
  </si>
  <si>
    <t xml:space="preserve">https://ai.gov.eg/SynchedFiles/en/Resources/AIstrategy%20English%2016-1-2025-1.pdf</t>
  </si>
  <si>
    <t xml:space="preserve">AI Governance Review</t>
  </si>
  <si>
    <t xml:space="preserve">OECD Artificial Intelligence Review of Egypt</t>
  </si>
  <si>
    <t xml:space="preserve">OECD country review mapping Egypt's AI governance and implementation of the OECD AI Principles (Egypt was the first Arab/African adherent, 2021).</t>
  </si>
  <si>
    <t xml:space="preserve">Policy report</t>
  </si>
  <si>
    <t xml:space="preserve">OECD</t>
  </si>
  <si>
    <t xml:space="preserve">https://www.oecd.org/en/publications/oecd-artificial-intelligence-review-of-egypt_2a282726-en.html</t>
  </si>
  <si>
    <t xml:space="preserve">Sawari Ventures</t>
  </si>
  <si>
    <t xml:space="preserve">Cairo-based VC investing in knowledge/innovation-based tech across North Africa, including deep tech and AI.</t>
  </si>
  <si>
    <t xml:space="preserve">https://sawariventures.com/</t>
  </si>
  <si>
    <t xml:space="preserve">DisrupTech Ventures</t>
  </si>
  <si>
    <t xml:space="preserve">~$36M Cairo fund focused on fintech and digital services; portfolio spans embedded finance, lending, insurtech, agritech and AI.</t>
  </si>
  <si>
    <t xml:space="preserve">https://www.disruptechventures.com/</t>
  </si>
  <si>
    <t xml:space="preserve">Energy / Climate-tech</t>
  </si>
  <si>
    <t xml:space="preserve">Wattnow</t>
  </si>
  <si>
    <t xml:space="preserve">IoT smart-energy platform whose ML engines analyse sensor data to monitor, predict and optimise commercial energy use; raised a multi-million-dollar round (2024, Lateral Frontiers &amp; 216 Capital).</t>
  </si>
  <si>
    <t xml:space="preserve">Funding round</t>
  </si>
  <si>
    <t xml:space="preserve">$10,000,000</t>
  </si>
  <si>
    <t xml:space="preserve">https://www.wamda.com/2024/09/tunisia-wattnow-closes-multi-million-dollar-funding-round</t>
  </si>
  <si>
    <t xml:space="preserve">Geospatial / Remote Sensing</t>
  </si>
  <si>
    <t xml:space="preserve">NextAV</t>
  </si>
  <si>
    <t xml:space="preserve">Sousse-based startup using AI to turn satellite/aerial imagery into near-real-time analytics (e.g. methane/oil-leak detection); named Best AI Startup at AfricArena Tunisia Summit 2023.</t>
  </si>
  <si>
    <t xml:space="preserve">Award / recognition</t>
  </si>
  <si>
    <t xml:space="preserve">2023-10</t>
  </si>
  <si>
    <t xml:space="preserve">Ventureburn</t>
  </si>
  <si>
    <t xml:space="preserve">https://ventureburn.com/2023/10/africarena-tunisia-summit-meet-the-top-start-ups/</t>
  </si>
  <si>
    <t xml:space="preserve">Fintech / SaaS</t>
  </si>
  <si>
    <t xml:space="preserve">Expensya</t>
  </si>
  <si>
    <t xml:space="preserve">Tunis-founded spend/expense-management SaaS built on an AI OCR+ engine that auto-extracts invoice data; acquired by Sweden's Medius (2023).</t>
  </si>
  <si>
    <t xml:space="preserve">Acquisition</t>
  </si>
  <si>
    <t xml:space="preserve">$20,000,000</t>
  </si>
  <si>
    <t xml:space="preserve">https://www.menabytes.com/expensya-20-million/</t>
  </si>
  <si>
    <t xml:space="preserve">Arabic NLP / LLM</t>
  </si>
  <si>
    <t xml:space="preserve">ClusterLab</t>
  </si>
  <si>
    <t xml:space="preserve">Tunisia-born AI/NLP company (behind Arabic audiobook app Reedz) developing Arabic LLMs; selected for NVIDIA Inception; raised $600k pre-seed (2024).</t>
  </si>
  <si>
    <t xml:space="preserve">2024-03</t>
  </si>
  <si>
    <t xml:space="preserve">$600,000</t>
  </si>
  <si>
    <t xml:space="preserve">https://disruptafrica.com/2024/03/27/tunisia-born-clusterlab-raises-600000-pre-seed-funding/</t>
  </si>
  <si>
    <t xml:space="preserve">Re-confirmed via dedicated research pass: Tunisia-born/UAE-HQ, $600K pre-seed from InstaDeep CEO Karim Beguir.</t>
  </si>
  <si>
    <t xml:space="preserve">Precision Agriculture</t>
  </si>
  <si>
    <t xml:space="preserve">RoboCare</t>
  </si>
  <si>
    <t xml:space="preserve">Sfax-based startup (2020) offering an AI precision-agriculture platform combining satellite, drone, IoT and weather data with ML to detect crop stress/disease early; six-figure 216 Capital round (2026).</t>
  </si>
  <si>
    <t xml:space="preserve">2026-06</t>
  </si>
  <si>
    <t xml:space="preserve">https://www.wamda.com/2026/06/tunisia-robocare-secures-figure-investment-216-capital</t>
  </si>
  <si>
    <t xml:space="preserve">AI Infrastructure / Skills</t>
  </si>
  <si>
    <t xml:space="preserve">Novation City x NVIDIA AI Innovation Hub</t>
  </si>
  <si>
    <t xml:space="preserve">AI innovation hub in Novation City tech park (Sousse) run with the NVIDIA Deep Learning Institute, offering DGX infrastructure and courses; part of NVIDIA's plan to train 100,000 African developers.</t>
  </si>
  <si>
    <t xml:space="preserve">Program launch</t>
  </si>
  <si>
    <t xml:space="preserve">NVIDIA Blog</t>
  </si>
  <si>
    <t xml:space="preserve">https://blogs.nvidia.com/blog/tunisia-ai-innovation-hub</t>
  </si>
  <si>
    <t xml:space="preserve">Tunisian AI Society (TAIS)</t>
  </si>
  <si>
    <t xml:space="preserve">Non-profit society launched by the RECONNECTT association (2023) to promote AI culture in Tunisia, networking Tunisian AI experts/researchers in-country and in the diaspora.</t>
  </si>
  <si>
    <t xml:space="preserve">Organization launch</t>
  </si>
  <si>
    <t xml:space="preserve">WebManagerCenter</t>
  </si>
  <si>
    <t xml:space="preserve">https://www.webmanagercenter.com/2023/05/22/508152/la-societe-tunisienne-de-lintelligence-artificielle-voit-le-jour/</t>
  </si>
  <si>
    <t xml:space="preserve">Confirmed via dedicated research pass: real non-profit launched 2023 by RECONNECTT.</t>
  </si>
  <si>
    <t xml:space="preserve">Accelerator / Seed Fund</t>
  </si>
  <si>
    <t xml:space="preserve">Flat6Labs Tunis</t>
  </si>
  <si>
    <t xml:space="preserve">Tunis seed accelerator and early-stage fund (launched 2017) backing tech startups including AI ventures; closed a $10M Anava Seed Fund in 2021.</t>
  </si>
  <si>
    <t xml:space="preserve">Fund close</t>
  </si>
  <si>
    <t xml:space="preserve">2021-09</t>
  </si>
  <si>
    <t xml:space="preserve">TechCrunch</t>
  </si>
  <si>
    <t xml:space="preserve">https://techcrunch.com/2021/09/27/flat6labs-closes-10m-seed-fund-for-tunisian-startups/</t>
  </si>
  <si>
    <t xml:space="preserve">Fund of Funds</t>
  </si>
  <si>
    <t xml:space="preserve">ANAVA Fund of Funds</t>
  </si>
  <si>
    <t xml:space="preserve">Tunisia's first fund of funds (~EUR100M target), operated by Smart Capital under Startup Tunisia, investing in VC funds that back Tunisian tech and deep-tech/AI startups.</t>
  </si>
  <si>
    <t xml:space="preserve">Fund launch</t>
  </si>
  <si>
    <t xml:space="preserve">2021-03</t>
  </si>
  <si>
    <t xml:space="preserve">EUR 100,000,000 (target)</t>
  </si>
  <si>
    <t xml:space="preserve">Startup Tunisia (Gov)</t>
  </si>
  <si>
    <t xml:space="preserve">https://startup.gov.tn/en/node/296</t>
  </si>
  <si>
    <t xml:space="preserve">Public Safety / e-Government</t>
  </si>
  <si>
    <t xml:space="preserve">Civil Protection AI &amp; Drones Modernisation Program</t>
  </si>
  <si>
    <t xml:space="preserve">~$51M AFD-financed government program to digitise Tunisia's 198 emergency number with 24 AI-equipped operation rooms plus drones and robots.</t>
  </si>
  <si>
    <t xml:space="preserve">Government program</t>
  </si>
  <si>
    <t xml:space="preserve">$51,000,000</t>
  </si>
  <si>
    <t xml:space="preserve">Ecofin Agency</t>
  </si>
  <si>
    <t xml:space="preserve">https://www.ecofinagency.com/news-digital/2708-48183-tunisia-plans-51-million-ai-and-drones-program-to-modernize-civil-protection-services</t>
  </si>
  <si>
    <t xml:space="preserve">AI / Data-Science Training</t>
  </si>
  <si>
    <t xml:space="preserve">GoMyCode (AI &amp; Data Science bootcamps)</t>
  </si>
  <si>
    <t xml:space="preserve">Tunisian ed-tech running instructor-led bootcamps in AI development, data science, machine learning and generative AI.</t>
  </si>
  <si>
    <t xml:space="preserve">Official page</t>
  </si>
  <si>
    <t xml:space="preserve">GoMyCode</t>
  </si>
  <si>
    <t xml:space="preserve">https://gomycode.com/tn/fr/courses/ai-development-bootcamp/</t>
  </si>
  <si>
    <t xml:space="preserve">CORRECTED framing: confirmed via dedicated research pass this is an EdTech/coding bootcamp company (teaches AI &amp; Data Science among many tracks) - not an AI-native startup. Marked Verified with this clarification.</t>
  </si>
  <si>
    <t xml:space="preserve">Academic AI Research</t>
  </si>
  <si>
    <t xml:space="preserve">GRIFT Research Group (CRISTAL Lab, ENSI Manouba)</t>
  </si>
  <si>
    <t xml:space="preserve">Computer-vision and machine-learning research group in the CRISTAL Laboratory at ENSI (Manouba University), specialising in geometric ML, statistical shape and image analysis.</t>
  </si>
  <si>
    <t xml:space="preserve">GRIFT / ENSI</t>
  </si>
  <si>
    <t xml:space="preserve">http://www.arts-pi.org.tn/GRIFT/GRIFT_page.html</t>
  </si>
  <si>
    <t xml:space="preserve">Confirmed via dedicated research pass: real CV/ML group, CRISTAL Lab, ENSI Manouba, est. 1999.</t>
  </si>
  <si>
    <t xml:space="preserve">National Artificial Intelligence Strategy 2024-2030</t>
  </si>
  <si>
    <t xml:space="preserve">Algeria's national AI strategy adopted by the National Scientific Council for AI (Dec 2024), built on six pillars and targeting AI at ~7% of GDP.</t>
  </si>
  <si>
    <t xml:space="preserve">Policy / Strategy</t>
  </si>
  <si>
    <t xml:space="preserve">2024-12</t>
  </si>
  <si>
    <t xml:space="preserve">Digital Policy Alert</t>
  </si>
  <si>
    <t xml:space="preserve">https://digitalpolicyalert.org/event/29116-algerian-government-announces-adoption-of-national-ai-strategy</t>
  </si>
  <si>
    <t xml:space="preserve">Governance</t>
  </si>
  <si>
    <t xml:space="preserve">National Scientific Council for AI</t>
  </si>
  <si>
    <t xml:space="preserve">Public advisory council (est. June 2023) reporting to the Ministries of Higher Education and Knowledge Economy; chaired by Prof. Merouane Debbah.</t>
  </si>
  <si>
    <t xml:space="preserve">2023-06</t>
  </si>
  <si>
    <t xml:space="preserve">ENSIA (official)</t>
  </si>
  <si>
    <t xml:space="preserve">https://www.ensia.edu.dz/scientific-council-of-artificial-intelligence/</t>
  </si>
  <si>
    <t xml:space="preserve">Public Venture Funding</t>
  </si>
  <si>
    <t xml:space="preserve">Algerie Telecom AI/Cybersecurity/Robotics Fund</t>
  </si>
  <si>
    <t xml:space="preserve">State telecom operator's ~1.5bn-dinar (~$11M) fund announced 2025 to invest in AI, cybersecurity and robotics startups.</t>
  </si>
  <si>
    <t xml:space="preserve">News</t>
  </si>
  <si>
    <t xml:space="preserve">$11,000,000</t>
  </si>
  <si>
    <t xml:space="preserve">https://launchbaseafrica.com/2025/02/18/algeria-bets-big-on-ai-startups-with-new-investment-fund/</t>
  </si>
  <si>
    <t xml:space="preserve">Algerian Startup Fund (ASF)</t>
  </si>
  <si>
    <t xml:space="preserve">Public VC company (created Oct 2020 with six public banks) financing labelled Algerian startups, including AI ventures.</t>
  </si>
  <si>
    <t xml:space="preserve">2020-10</t>
  </si>
  <si>
    <t xml:space="preserve">ASF (official)</t>
  </si>
  <si>
    <t xml:space="preserve">https://asf.dz/</t>
  </si>
  <si>
    <t xml:space="preserve">Data Center / Infrastructure</t>
  </si>
  <si>
    <t xml:space="preserve">AI Data Center in Oran (Akid Lotfi)</t>
  </si>
  <si>
    <t xml:space="preserve">Government-backed AI-dedicated data centre whose foundation stone was laid March 2025 in Oran, to be fitted with latest-generation GPUs.</t>
  </si>
  <si>
    <t xml:space="preserve">2025-03</t>
  </si>
  <si>
    <t xml:space="preserve">Data Center Dynamics</t>
  </si>
  <si>
    <t xml:space="preserve">https://www.datacenterdynamics.com/en/news/algerian-govt-breaks-ground-on-ai-data-center-in-oran/</t>
  </si>
  <si>
    <t xml:space="preserve">Sovereign AI Platforms</t>
  </si>
  <si>
    <t xml:space="preserve">Symloop AI</t>
  </si>
  <si>
    <t xml:space="preserve">Algiers deep-tech AI company (founded 2012) building sovereign AI (NOOR platform: RAG, document AI, NL-to-SQL, Arabic NLP, multi-agent) for regulated industries.</t>
  </si>
  <si>
    <t xml:space="preserve">Symloop AI (official)</t>
  </si>
  <si>
    <t xml:space="preserve">https://symloop-ai.com/en/</t>
  </si>
  <si>
    <t xml:space="preserve">Applied AI / RAG</t>
  </si>
  <si>
    <t xml:space="preserve">BADIS AI</t>
  </si>
  <si>
    <t xml:space="preserve">Sovereign-AI software editor at the Cyberparc of Sidi Abdellah (Algiers) offering OCR, RAG, AI agents and Arabic/Darija chatbots.</t>
  </si>
  <si>
    <t xml:space="preserve">BADIS AI (official)</t>
  </si>
  <si>
    <t xml:space="preserve">https://badis.ai/</t>
  </si>
  <si>
    <t xml:space="preserve">Generative AI / Search</t>
  </si>
  <si>
    <t xml:space="preserve">Nojoom.ai</t>
  </si>
  <si>
    <t xml:space="preserve">Self-described first fully Algerian generative-AI platform, with an Arabic AI search engine (Thuraya), academic assistant (Suhail) and financial tool (Nitaq).</t>
  </si>
  <si>
    <t xml:space="preserve">Google AI for Developers</t>
  </si>
  <si>
    <t xml:space="preserve">https://ai.google.dev/competition/projects/nojoomai</t>
  </si>
  <si>
    <t xml:space="preserve">Confirmed via dedicated research pass: real Algerian Arabic generative-AI platform.</t>
  </si>
  <si>
    <t xml:space="preserve">NLP / LLM</t>
  </si>
  <si>
    <t xml:space="preserve">Hadretna</t>
  </si>
  <si>
    <t xml:space="preserve">Algerian AI project (Fentech, with Prof. Merouane Debbah) building an LLM for Algerian Darija and Tamazight; pre-trained on ~2 billion tokens.</t>
  </si>
  <si>
    <t xml:space="preserve">2024-08</t>
  </si>
  <si>
    <t xml:space="preserve">https://www.middleeastainews.com/p/north-african-ai-large-language-model-data</t>
  </si>
  <si>
    <t xml:space="preserve">Confirmed via dedicated research pass: real Algerian-French LLM research project (Daridja/Tamazight), not a conventional company.</t>
  </si>
  <si>
    <t xml:space="preserve">Legaltech AI</t>
  </si>
  <si>
    <t xml:space="preserve">Legal Doctrine</t>
  </si>
  <si>
    <t xml:space="preserve">Algiers legaltech (founded 2018) running Algeria's largest legal database (3M+ texts) with AI features including Themis-AI.</t>
  </si>
  <si>
    <t xml:space="preserve">Legal Doctrine (official)</t>
  </si>
  <si>
    <t xml:space="preserve">https://legal-doctrine.com/en/about</t>
  </si>
  <si>
    <t xml:space="preserve">Computer Vision</t>
  </si>
  <si>
    <t xml:space="preserve">FarmAI (SevenG)</t>
  </si>
  <si>
    <t xml:space="preserve">Algerian agritech using AI computer vision and drones to automate wheat-rust detection; won 2nd prize ($100k) at Huawei Tech4Good 2023.</t>
  </si>
  <si>
    <t xml:space="preserve">2023-01</t>
  </si>
  <si>
    <t xml:space="preserve">$100,000</t>
  </si>
  <si>
    <t xml:space="preserve">We Are Tech Africa</t>
  </si>
  <si>
    <t xml:space="preserve">https://www.wearetech.africa/en/fils-uk/solutions/seveng-advocates-for-smart-dynamic-and-efficient-farming-with-farmai</t>
  </si>
  <si>
    <t xml:space="preserve">Confirmed via dedicated research pass, with a caveat: reads more as a student/competition venture (2nd prize + People's Choice at Huawei Tech4Good, Jan 2023) than a scaled company. Prize amount conflicts across sources ($15,000 vs $100,000) - unresolved, flag pending a primary source.</t>
  </si>
  <si>
    <t xml:space="preserve">Edtech / Deeptech</t>
  </si>
  <si>
    <t xml:space="preserve">LabLabee</t>
  </si>
  <si>
    <t xml:space="preserve">Algeria-founded edtech (2021) providing virtual hands-on labs for 5G, cloud and AI/telco-AI training; raised $3.4M seed (2024) led by Reach Capital.</t>
  </si>
  <si>
    <t xml:space="preserve">$3,400,000</t>
  </si>
  <si>
    <t xml:space="preserve">https://www.wamda.com/2024/09/algerian-edtech-lablabee-closes-34-million-seed-round</t>
  </si>
  <si>
    <t xml:space="preserve">Accelerator / Incubator</t>
  </si>
  <si>
    <t xml:space="preserve">Sylabs</t>
  </si>
  <si>
    <t xml:space="preserve">Algeria's first private startup accelerator and tech hub (founded Dec 2015 in Algiers), providing coworking, incubation and the DZ Acceleration Program.</t>
  </si>
  <si>
    <t xml:space="preserve">2015-12</t>
  </si>
  <si>
    <t xml:space="preserve">https://www.menabytes.com/slyabs-algeria-startup-accelerator/</t>
  </si>
  <si>
    <t xml:space="preserve">Confirmed via dedicated research pass: real general entrepreneurship hub (Algiers, 2015) - not AI-specific, description should reflect that. Re-confirmed via dedicated research pass: Algeria's first private accelerator/coworking hub (2015) - correctly NOT categorized as an AI startup.</t>
  </si>
  <si>
    <t xml:space="preserve">University Research Lab</t>
  </si>
  <si>
    <t xml:space="preserve">LRIA - AI Research Laboratory, USTHB</t>
  </si>
  <si>
    <t xml:space="preserve">Research laboratory (created 2000, dir. Prof. Habiba Drias) in the AI &amp; Data Science department at USTHB (Algiers); organises the AID doctoral symposium.</t>
  </si>
  <si>
    <t xml:space="preserve">2000</t>
  </si>
  <si>
    <t xml:space="preserve">LRIA USTHB (official)</t>
  </si>
  <si>
    <t xml:space="preserve">https://lria.usthb.dz/AID2022-CFP</t>
  </si>
  <si>
    <t xml:space="preserve">AI Financial OS for SMEs</t>
  </si>
  <si>
    <t xml:space="preserve">INVIA</t>
  </si>
  <si>
    <t xml:space="preserve">AI-powered financial operating system for SMEs combining bookkeeping, cash-flow, inventory and manufacturing operations; founded 2023.</t>
  </si>
  <si>
    <t xml:space="preserve">$1,200,000</t>
  </si>
  <si>
    <t xml:space="preserve">https://www.wamda.com/2026/04/invia-raises-1-2m-build-ai-powered-financial-os-smes-egypt</t>
  </si>
  <si>
    <t xml:space="preserve">$1.2M raise &amp; AI financial OS for SMEs confirmed.</t>
  </si>
  <si>
    <t xml:space="preserve">Logistics / Last-Mile Delivery</t>
  </si>
  <si>
    <t xml:space="preserve">Roboost</t>
  </si>
  <si>
    <t xml:space="preserve">AI-powered delivery SaaS with auto-dispatching, smart routing and an AI operations copilot; clients include McDonald's Egypt and El Ezaby Pharmacies.</t>
  </si>
  <si>
    <t xml:space="preserve">2024-01</t>
  </si>
  <si>
    <t xml:space="preserve">https://www.wamda.com/2024/01/egypt-roboost-raises-3-million-investment</t>
  </si>
  <si>
    <t xml:space="preserve">$3M round led by Silicon Badia; AI logistics confirmed.</t>
  </si>
  <si>
    <t xml:space="preserve">Egrobots</t>
  </si>
  <si>
    <t xml:space="preserve">Deep-tech robotics firm that built the Arab world's first fully Egyptian autonomous harvesting robot using computer vision and autonomous navigation; NVIDIA Inception member.</t>
  </si>
  <si>
    <t xml:space="preserve">Company / product announcement</t>
  </si>
  <si>
    <t xml:space="preserve">2026-05</t>
  </si>
  <si>
    <t xml:space="preserve">$125,000</t>
  </si>
  <si>
    <t xml:space="preserve">https://www.wamda.com/2026/05/egrobots-unveils-ai-powered-harvesting-robot-built-entirely-egyptian-engineers</t>
  </si>
  <si>
    <t xml:space="preserve">AI harvesting robot confirmed; $125k pre-seed.</t>
  </si>
  <si>
    <t xml:space="preserve">Edtech / Higher-Ed Matching</t>
  </si>
  <si>
    <t xml:space="preserve">Educatly</t>
  </si>
  <si>
    <t xml:space="preserve">AI/LLM-powered platform matching students to 130,000+ programs from 1,100 universities; founded 2020.</t>
  </si>
  <si>
    <t xml:space="preserve">2024-07</t>
  </si>
  <si>
    <t xml:space="preserve">$2,500,000</t>
  </si>
  <si>
    <t xml:space="preserve">https://www.wamda.com/2024/07/educatly-concludes-2-5-million-funding-round</t>
  </si>
  <si>
    <t xml:space="preserve">$2.5M round (TLcom, Plus VC); AI/LLM edtech.</t>
  </si>
  <si>
    <t xml:space="preserve">Edtech / K-12 Coding &amp; AI</t>
  </si>
  <si>
    <t xml:space="preserve">iSchool</t>
  </si>
  <si>
    <t xml:space="preserve">Gamified online platform teaching coding, AI and VR to ages 6-18; 26,000+ live learners; founded 2018.</t>
  </si>
  <si>
    <t xml:space="preserve">2023-12</t>
  </si>
  <si>
    <t xml:space="preserve">$4,500,000</t>
  </si>
  <si>
    <t xml:space="preserve">https://www.wamda.com/2023/12/egypt-ischool-45-million-accelerate-global-expansion</t>
  </si>
  <si>
    <t xml:space="preserve">$4.5M round; AI/coding curriculum.</t>
  </si>
  <si>
    <t xml:space="preserve">Edtech / AI Talent Training</t>
  </si>
  <si>
    <t xml:space="preserve">Sprints</t>
  </si>
  <si>
    <t xml:space="preserve">AI-powered edtech bridging the MEA tech-talent gap via upskilling bootcamps with guaranteed hiring; founded 2020.</t>
  </si>
  <si>
    <t xml:space="preserve">https://www.wamda.com/2024/03/egypt-sprints-raises-3-million-bridge-round</t>
  </si>
  <si>
    <t xml:space="preserve">$3M bridge round; AI-powered edtech.</t>
  </si>
  <si>
    <t xml:space="preserve">HR-tech / AI Recruitment</t>
  </si>
  <si>
    <t xml:space="preserve">Talents Arena</t>
  </si>
  <si>
    <t xml:space="preserve">AI recruitment platform with a talent-mining engine and automation; 180,000+ job matches; founded 2019.</t>
  </si>
  <si>
    <t xml:space="preserve">2023-08</t>
  </si>
  <si>
    <t xml:space="preserve">$750,000</t>
  </si>
  <si>
    <t xml:space="preserve">https://disruptafrica.com/2023/08/10/egyptian-ai-recruitment-startup-talents-arena-raises-750k-pre-seed-round-for-saudi-expansion/</t>
  </si>
  <si>
    <t xml:space="preserve">$750k pre-seed; AI recruitment engine.</t>
  </si>
  <si>
    <t xml:space="preserve">Arabic NLP / Social Listening</t>
  </si>
  <si>
    <t xml:space="preserve">Crowd Analyzer</t>
  </si>
  <si>
    <t xml:space="preserve">Arabic-focused social-listening platform using proprietary ML/NLP across Egyptian, Gulf, Levantine and MSA dialects; founded 2013.</t>
  </si>
  <si>
    <t xml:space="preserve">$3,500,000</t>
  </si>
  <si>
    <t xml:space="preserve">https://www.menabytes.com/crowd-analyzer-series-a/</t>
  </si>
  <si>
    <t xml:space="preserve">$3.5M+ Series A; Arabic NLP/AI.</t>
  </si>
  <si>
    <t xml:space="preserve">AI Protein Engineering / TechBio</t>
  </si>
  <si>
    <t xml:space="preserve">Proteinea</t>
  </si>
  <si>
    <t xml:space="preserve">Integrates AI with biotech for protein engineering and biomanufacturing; built the 'Ankh' protein language model; Cairo + Cambridge MA; founded 2020.</t>
  </si>
  <si>
    <t xml:space="preserve">2024-06</t>
  </si>
  <si>
    <t xml:space="preserve">Deeptech Egypt / Crunchbase</t>
  </si>
  <si>
    <t xml:space="preserve">https://www.deeptechegypt.com/2024/02/15/proteinea-new-language-biotech/</t>
  </si>
  <si>
    <t xml:space="preserve">AI protein language model (Ankh); seed with IndieBio, Shorooq.</t>
  </si>
  <si>
    <t xml:space="preserve">Satellite/GIS Precision Agriculture</t>
  </si>
  <si>
    <t xml:space="preserve">Zr3i</t>
  </si>
  <si>
    <t xml:space="preserve">SaaS using satellite imaging, remote sensing and AI for crop monitoring for smallholder farmers; MENA's first date-palm carbon MRV platform; founded 2021.</t>
  </si>
  <si>
    <t xml:space="preserve">Company / funding profile</t>
  </si>
  <si>
    <t xml:space="preserve">$950,000</t>
  </si>
  <si>
    <t xml:space="preserve">https://www.crunchbase.com/organization/digi-agri</t>
  </si>
  <si>
    <t xml:space="preserve">AI satellite agritech; ~$950k seed-II.</t>
  </si>
  <si>
    <t xml:space="preserve">Geospatial AI Agriculture</t>
  </si>
  <si>
    <t xml:space="preserve">VAIS (Visual and AI Solutions)</t>
  </si>
  <si>
    <t xml:space="preserve">Deep-tech firm with patent-pending Virtual Field Probing for sensor-free crop/irrigation intelligence via multi-satellite data (FarmGuru SaaS); founded 2020, Giza.</t>
  </si>
  <si>
    <t xml:space="preserve">VAIS official</t>
  </si>
  <si>
    <t xml:space="preserve">https://vais.ai/</t>
  </si>
  <si>
    <t xml:space="preserve">AI geospatial agritech; BFA Catalyst Fund investment.</t>
  </si>
  <si>
    <t xml:space="preserve">AI Video Analytics</t>
  </si>
  <si>
    <t xml:space="preserve">AvidBeam</t>
  </si>
  <si>
    <t xml:space="preserve">AI video-analytics platform for smart cities, retail and security (crowd density, anomaly detection); started 2014.</t>
  </si>
  <si>
    <t xml:space="preserve">Funding / company profile</t>
  </si>
  <si>
    <t xml:space="preserve">https://www.menabytes.com/avidbeam-series-a/</t>
  </si>
  <si>
    <t xml:space="preserve">AI video analytics; Egypt Ventures Series A.</t>
  </si>
  <si>
    <t xml:space="preserve">CPaaS / AI Communications</t>
  </si>
  <si>
    <t xml:space="preserve">CEQUENS</t>
  </si>
  <si>
    <t xml:space="preserve">CPaaS provider offering AI-interfaced messaging, voice and multichannel APIs and the CEQUENS AI Agent chatbot; founded 2011, Cairo.</t>
  </si>
  <si>
    <t xml:space="preserve">BTW Media / Crunchbase</t>
  </si>
  <si>
    <t xml:space="preserve">https://btw.media/company-stories/cequens-egypts-cpaas-powerhouse-with-global-ambitions/</t>
  </si>
  <si>
    <t xml:space="preserve">AI-powered CPaaS and CEQUENS AI Agent.</t>
  </si>
  <si>
    <t xml:space="preserve">No-code Computer Vision</t>
  </si>
  <si>
    <t xml:space="preserve">DevisionX</t>
  </si>
  <si>
    <t xml:space="preserve">Builds AI computer-vision tools; flagship Tuba.ai is a no-code AI-vision workflow builder plus multimodal RAG assistant for industrial inspection; founded 2017.</t>
  </si>
  <si>
    <t xml:space="preserve">EgyptInnovate</t>
  </si>
  <si>
    <t xml:space="preserve">https://egyptinnovate.com/en/entities/profile/devisionx-1</t>
  </si>
  <si>
    <t xml:space="preserve">No-code computer-vision platform Tuba.ai.</t>
  </si>
  <si>
    <t xml:space="preserve">HR-tech / AI Workforce Mgmt</t>
  </si>
  <si>
    <t xml:space="preserve">Brite</t>
  </si>
  <si>
    <t xml:space="preserve">AI-powered HR &amp; business-management SaaS for MENA SMEs (attendance, payroll, performance) with real-time analytics; launched 2025-2026.</t>
  </si>
  <si>
    <t xml:space="preserve">Company / product launch</t>
  </si>
  <si>
    <t xml:space="preserve">https://egyptinnovate.com/en/news/cairo-startup-brite-unveils-ai-driven-hr-solution-smes-across-mena-region</t>
  </si>
  <si>
    <t xml:space="preserve">[Pending verification] AI HR platform for MENA SMEs; single aggregator source.</t>
  </si>
  <si>
    <t xml:space="preserve">AI/NLP Financial Chatbots</t>
  </si>
  <si>
    <t xml:space="preserve">MerQ</t>
  </si>
  <si>
    <t xml:space="preserve">AI + NLP financial virtual-assistant chatbots (e.g. 'Sally' for credit-card comparison); founded 2018, Cairo.</t>
  </si>
  <si>
    <t xml:space="preserve">$800,000</t>
  </si>
  <si>
    <t xml:space="preserve">https://www.menabytes.com/egypt-merq-seed/</t>
  </si>
  <si>
    <t xml:space="preserve">AI/NLP fintech chatbots; $800k seed.</t>
  </si>
  <si>
    <t xml:space="preserve">Computer Vision / Deep Learning</t>
  </si>
  <si>
    <t xml:space="preserve">Webville</t>
  </si>
  <si>
    <t xml:space="preserve">Computer-vision deep-learning models for security, media, fashion and gaming; product Artville automates e-commerce photo editing.</t>
  </si>
  <si>
    <t xml:space="preserve">MarkTechPost</t>
  </si>
  <si>
    <t xml:space="preserve">https://www.marktechpost.com/2023/03/16/top-innovative-ai-based-startups-in-egypt-2023/</t>
  </si>
  <si>
    <t xml:space="preserve">[Pending verification] Listicle source only.</t>
  </si>
  <si>
    <t xml:space="preserve">AI/ML Supply-Chain Marketplace</t>
  </si>
  <si>
    <t xml:space="preserve">Weelo</t>
  </si>
  <si>
    <t xml:space="preserve">Digital B2B marketplace using ML, AI and predictive analytics for retailer-supplier ordering and warehouse auditing.</t>
  </si>
  <si>
    <t xml:space="preserve">AI Queue Management</t>
  </si>
  <si>
    <t xml:space="preserve">Qme</t>
  </si>
  <si>
    <t xml:space="preserve">Real-time AI-powered digital queue-management app automating customer flow across service branches.</t>
  </si>
  <si>
    <t xml:space="preserve">Proptech / Real-Estate AI</t>
  </si>
  <si>
    <t xml:space="preserve">Keys AI</t>
  </si>
  <si>
    <t xml:space="preserve">AI tools for real estate: virtual property tours, price-estimation models and CRM for agents.</t>
  </si>
  <si>
    <t xml:space="preserve">Today Africa</t>
  </si>
  <si>
    <t xml:space="preserve">https://todayafrica.co/ai-startups-in-egypt/</t>
  </si>
  <si>
    <t xml:space="preserve">Edtech / Edutainment</t>
  </si>
  <si>
    <t xml:space="preserve">FabMinds</t>
  </si>
  <si>
    <t xml:space="preserve">Deep-tech edutainment app with AI features for designing printable games plus a 3D printer and community platform.</t>
  </si>
  <si>
    <t xml:space="preserve">University AI Research Center</t>
  </si>
  <si>
    <t xml:space="preserve">Nile University - AI Lab &amp; MSc in AI</t>
  </si>
  <si>
    <t xml:space="preserve">Hosts a dedicated AI Lab and an MSc in AI (curriculum co-designed with MIT Media Lab &amp; IBM Egypt) covering ML, NLP, robotics and smart cities.</t>
  </si>
  <si>
    <t xml:space="preserve">Academic program / research center</t>
  </si>
  <si>
    <t xml:space="preserve">Nile University (official)</t>
  </si>
  <si>
    <t xml:space="preserve">https://itcs.nu.edu.eg/program/artificial-intelligence</t>
  </si>
  <si>
    <t xml:space="preserve">AI Lab and MSc AI program confirmed.</t>
  </si>
  <si>
    <t xml:space="preserve">University AI Faculty</t>
  </si>
  <si>
    <t xml:space="preserve">Cairo University - Faculty of Computers and AI (FCAI)</t>
  </si>
  <si>
    <t xml:space="preserve">Public faculty with Computer Science, IS, IT and Operations Research departments and an AI research focus; Giza.</t>
  </si>
  <si>
    <t xml:space="preserve">Academic institution</t>
  </si>
  <si>
    <t xml:space="preserve">FCAI Cairo University (official)</t>
  </si>
  <si>
    <t xml:space="preserve">https://fcai.cu.edu.eg/</t>
  </si>
  <si>
    <t xml:space="preserve">AI-focused faculty and departments confirmed.</t>
  </si>
  <si>
    <t xml:space="preserve">University AI Graduate Program</t>
  </si>
  <si>
    <t xml:space="preserve">Zewail City - MSc in AI Engineering</t>
  </si>
  <si>
    <t xml:space="preserve">Thesis-based MSc in AI Engineering (ML, deep learning, optimization) at the Nobel-laureate-founded research institution.</t>
  </si>
  <si>
    <t xml:space="preserve">Academic program</t>
  </si>
  <si>
    <t xml:space="preserve">Zewail City (official)</t>
  </si>
  <si>
    <t xml:space="preserve">https://www.zewailcity.edu.eg/academics/graduate-studies/schools/program/46</t>
  </si>
  <si>
    <t xml:space="preserve">MSc AI Engineering program confirmed.</t>
  </si>
  <si>
    <t xml:space="preserve">University Innovation / AI Lab</t>
  </si>
  <si>
    <t xml:space="preserve">AUC Technology, Research and Innovation Lab (TRI-Lab)</t>
  </si>
  <si>
    <t xml:space="preserve">AUC lab enabling industry/government collaboration on emerging tech including AI in support of Egypt Vision 2030.</t>
  </si>
  <si>
    <t xml:space="preserve">Research center</t>
  </si>
  <si>
    <t xml:space="preserve">American University in Cairo (official)</t>
  </si>
  <si>
    <t xml:space="preserve">https://www.aucegypt.edu/about/new-cairo-campus/campus-2026/TRI-Lab</t>
  </si>
  <si>
    <t xml:space="preserve">[Pending verification] AI focus general; confirm scope.</t>
  </si>
  <si>
    <t xml:space="preserve">Government Data &amp; Cloud / AI Infra</t>
  </si>
  <si>
    <t xml:space="preserve">Egypt Government Data and Cloud Computing Center (Ain Sokhna)</t>
  </si>
  <si>
    <t xml:space="preserve">First big-data and AI-processing government data center in Egypt/North Africa (23,500 sqm), supporting AI in government decision-making.</t>
  </si>
  <si>
    <t xml:space="preserve">Government initiative</t>
  </si>
  <si>
    <t xml:space="preserve">2024-04-28</t>
  </si>
  <si>
    <t xml:space="preserve">State Information Service (SIS)</t>
  </si>
  <si>
    <t xml:space="preserve">https://www.sis.gov.eg/Story/192611?lang=en-us</t>
  </si>
  <si>
    <t xml:space="preserve">First gov data/cloud/AI center; launch date confirmed.</t>
  </si>
  <si>
    <t xml:space="preserve">Government Innovation Centers</t>
  </si>
  <si>
    <t xml:space="preserve">Digital Egypt Innovation Centers</t>
  </si>
  <si>
    <t xml:space="preserve">Network of government innovation centers (one per governorate) fostering youth skills in cutting-edge tech including AI.</t>
  </si>
  <si>
    <t xml:space="preserve">AllAfrica</t>
  </si>
  <si>
    <t xml:space="preserve">https://allafrica.com/stories/202412310272.html</t>
  </si>
  <si>
    <t xml:space="preserve">[Pending verification] AI is one of several themes.</t>
  </si>
  <si>
    <t xml:space="preserve">Algebra Ventures</t>
  </si>
  <si>
    <t xml:space="preserve">Egypt's leading tech-focused VC; second fund targets fintech, agritech, edtech, logistics and healthcare startups.</t>
  </si>
  <si>
    <t xml:space="preserve">$90,000,000 (fund size)</t>
  </si>
  <si>
    <t xml:space="preserve">https://techcrunch.com/2021/04/06/after-its-first-54m-fund-algebra-ventures-launches-another-90m-fund-for-startups-in-egypt/</t>
  </si>
  <si>
    <t xml:space="preserve">$90M second fund; tech focus confirmed.</t>
  </si>
  <si>
    <t xml:space="preserve">Beltone Venture Capital</t>
  </si>
  <si>
    <t xml:space="preserve">Beltone Holding VC arm (est. 2023) managing a $30M fund (with CI Venture Capital) for early-stage Egyptian tech startups.</t>
  </si>
  <si>
    <t xml:space="preserve">$30,000,000 (fund size)</t>
  </si>
  <si>
    <t xml:space="preserve">The Startup Scene</t>
  </si>
  <si>
    <t xml:space="preserve">https://thestartupscene.me/MenaEcosystems/Beltone-Launches-VC-Fund-to-Back-Egypt-s-Tech-Startups</t>
  </si>
  <si>
    <t xml:space="preserve">$30M early-stage tech fund confirmed.</t>
  </si>
  <si>
    <t xml:space="preserve">Fintech-focused Venture Fund</t>
  </si>
  <si>
    <t xml:space="preserve">Nclude by Global Ventures</t>
  </si>
  <si>
    <t xml:space="preserve">Fintech fund launched by Banque Misr, National Bank of Egypt and Banque du Caire with Global Ventures; closed ~$110M.</t>
  </si>
  <si>
    <t xml:space="preserve">$110,000,000 (fund size)</t>
  </si>
  <si>
    <t xml:space="preserve">Banque Misr (official)</t>
  </si>
  <si>
    <t xml:space="preserve">https://www.banquemisr.com/en/Home/ABOUT-US/News/News0</t>
  </si>
  <si>
    <t xml:space="preserve">Bank-backed fintech fund launch confirmed.</t>
  </si>
  <si>
    <t xml:space="preserve">Falak Startups</t>
  </si>
  <si>
    <t xml:space="preserve">Cairo-based accelerator (backed by Egypt Ventures) providing seed funding and mentorship to early-stage startups.</t>
  </si>
  <si>
    <t xml:space="preserve">Accelerator profile</t>
  </si>
  <si>
    <t xml:space="preserve">Failory</t>
  </si>
  <si>
    <t xml:space="preserve">https://www.failory.com/startups/egypt-accelerators-incubators</t>
  </si>
  <si>
    <t xml:space="preserve">[Pending verification] Aggregator source. Confirmed via Egypt/Morocco landscape research pass: real Egyptian accelerator.</t>
  </si>
  <si>
    <t xml:space="preserve">Government ICT Incubator</t>
  </si>
  <si>
    <t xml:space="preserve">TIEC (Technology Innovation and Entrepreneurship Center)</t>
  </si>
  <si>
    <t xml:space="preserve">Government-backed (ITIDA/MCIT) incubator delivering mentorship and resources for early-stage ICT startups.</t>
  </si>
  <si>
    <t xml:space="preserve">Incubator profile</t>
  </si>
  <si>
    <t xml:space="preserve">Sramana Mitra</t>
  </si>
  <si>
    <t xml:space="preserve">https://www.sramanamitra.com/2025/09/16/startup-africa-egypts-startup-accelerator-ecosystem-a-deep-dive/</t>
  </si>
  <si>
    <t xml:space="preserve">[Pending verification] Secondary source. Confirmed via Egypt/Morocco landscape research pass: real government innovation body under MCIT.</t>
  </si>
  <si>
    <t xml:space="preserve">University-based Accelerator</t>
  </si>
  <si>
    <t xml:space="preserve">AUC Venture Lab (V-Lab)</t>
  </si>
  <si>
    <t xml:space="preserve">Egypt's first university-based accelerator (American University in Cairo) running fintech and startup programs.</t>
  </si>
  <si>
    <t xml:space="preserve">[Pending verification] Aggregator source. Confirmed via Egypt/Morocco landscape research pass: real AUC-affiliated venture lab.</t>
  </si>
  <si>
    <t xml:space="preserve">AI Credit Scoring / Lending</t>
  </si>
  <si>
    <t xml:space="preserve">Talaty</t>
  </si>
  <si>
    <t xml:space="preserve">Fintech (founded 2022) blending behavioural finance with AI to score SME creditworthiness, offering banks lending-as-a-service.</t>
  </si>
  <si>
    <t xml:space="preserve">https://launchbaseafrica.com/2024/12/19/moroccos-talaty-gains-strategic-investment-to-expand-ai-powered-credit-solutions/</t>
  </si>
  <si>
    <t xml:space="preserve">Backed by Witamax &amp; Renew Capital; AI core to product.</t>
  </si>
  <si>
    <t xml:space="preserve">Super App / Digital Payments</t>
  </si>
  <si>
    <t xml:space="preserve">ORA Technologies</t>
  </si>
  <si>
    <t xml:space="preserve">Casablanca fintech (2023) building a Moroccan super app (ORA Cash wallet + Kooul delivery) using AI for localized digital services.</t>
  </si>
  <si>
    <t xml:space="preserve">2026-07</t>
  </si>
  <si>
    <t xml:space="preserve">https://www.wamda.com/2026/07/morocco-ora-technologies-tops-series-a-10-million</t>
  </si>
  <si>
    <t xml:space="preserve">Series A extended to $10M, led by Azur Innovation Fund.</t>
  </si>
  <si>
    <t xml:space="preserve">Retail-tech / Nanostores</t>
  </si>
  <si>
    <t xml:space="preserve">Woliz</t>
  </si>
  <si>
    <t xml:space="preserve">Casablanca retail-tech platform (2025) connecting nanostores to the digital economy using AI.</t>
  </si>
  <si>
    <t xml:space="preserve">StartupHub.ai</t>
  </si>
  <si>
    <t xml:space="preserve">https://www.startuphub.ai/countries/morocco</t>
  </si>
  <si>
    <t xml:space="preserve">[Pending verification] Aggregator listing only.</t>
  </si>
  <si>
    <t xml:space="preserve">Proptech / Real-Estate Intelligence</t>
  </si>
  <si>
    <t xml:space="preserve">Agenz</t>
  </si>
  <si>
    <t xml:space="preserve">Casablanca proptech (2021) using data and AI for property valuation, market intelligence and transaction tools.</t>
  </si>
  <si>
    <t xml:space="preserve">$5,000,000</t>
  </si>
  <si>
    <t xml:space="preserve">Morocco World News</t>
  </si>
  <si>
    <t xml:space="preserve">https://www.moroccoworldnews.com/2026/06/320044/moroccan-startup-agenz-raises-5m-to-expand-ai-powered-real-estate-platform/</t>
  </si>
  <si>
    <t xml:space="preserve">Oversubscribed seed led by Breega, Attijariwafa Ventures, Saviu.</t>
  </si>
  <si>
    <t xml:space="preserve">HR-tech / Recruitment</t>
  </si>
  <si>
    <t xml:space="preserve">Jobzyn</t>
  </si>
  <si>
    <t xml:space="preserve">AI recruitment startup (2023) matching candidates to jobs and assessing soft skills; clients include Deloitte, Glovo, Maroc Telecom, Inwi.</t>
  </si>
  <si>
    <t xml:space="preserve">2025-09</t>
  </si>
  <si>
    <t xml:space="preserve">https://disruptafrica.com/2025/09/16/moroccan-recruitment-startup-jobzyn-secures-funding-from-janngo-capital/</t>
  </si>
  <si>
    <t xml:space="preserve">Pre-seed led by Janngo Capital with Digital Africa.</t>
  </si>
  <si>
    <t xml:space="preserve">Logistics / Freight Marketplace</t>
  </si>
  <si>
    <t xml:space="preserve">CloudFret</t>
  </si>
  <si>
    <t xml:space="preserve">Logistics startup (2021) with an AI-driven SaaS marketplace matching shippers and carriers to reduce empty truck returns.</t>
  </si>
  <si>
    <t xml:space="preserve">2023-11</t>
  </si>
  <si>
    <t xml:space="preserve">$2,100,000</t>
  </si>
  <si>
    <t xml:space="preserve">https://www.wamda.com/2023/11/morocco-cloudfret-closes-21-million-round</t>
  </si>
  <si>
    <t xml:space="preserve">Round from AfriMobility and Azur Innovation Fund.</t>
  </si>
  <si>
    <t xml:space="preserve">Logistics / Transport SaaS</t>
  </si>
  <si>
    <t xml:space="preserve">Freterium</t>
  </si>
  <si>
    <t xml:space="preserve">Y Combinator (S21) transport-management SaaS (2020) connecting shippers with their logistics ecosystem in real time.</t>
  </si>
  <si>
    <t xml:space="preserve">2022-02</t>
  </si>
  <si>
    <t xml:space="preserve">$4,000,000</t>
  </si>
  <si>
    <t xml:space="preserve">Partech</t>
  </si>
  <si>
    <t xml:space="preserve">https://cdn-website.partechpartners.com/news/freterium-raises-4m-seed-round-disrupt-4-trillion-trucking-industry</t>
  </si>
  <si>
    <t xml:space="preserve">Seed led by Partech; investors incl. YC, CDG Invest, Outlierz.</t>
  </si>
  <si>
    <t xml:space="preserve">NLP / Darija LLMs</t>
  </si>
  <si>
    <t xml:space="preserve">AtlasIA</t>
  </si>
  <si>
    <t xml:space="preserve">Non-profit Moroccan AI community building open-source models/datasets for Moroccan dialects; released the Terjman translation LLMs and AtlasOCR (first open-source 3B Darija OCR model).</t>
  </si>
  <si>
    <t xml:space="preserve">https://www.middleeastainews.com/p/atlasia-releases-smarter-moroccan-llms</t>
  </si>
  <si>
    <t xml:space="preserve">Models on Hugging Face; official site atlasia.ma.</t>
  </si>
  <si>
    <t xml:space="preserve">Urban / Shared Mobility</t>
  </si>
  <si>
    <t xml:space="preserve">Enakl</t>
  </si>
  <si>
    <t xml:space="preserve">Urban mobility startup (2023) providing intelligent, sustainable collective transport for emerging markets.</t>
  </si>
  <si>
    <t xml:space="preserve">2026-01</t>
  </si>
  <si>
    <t xml:space="preserve">$2,300,000</t>
  </si>
  <si>
    <t xml:space="preserve">https://www.wamda.com/2026/01/morocco-enakl-raises-2-3-million-scale-intelligent-shared-mobility</t>
  </si>
  <si>
    <t xml:space="preserve">[Pending verification] AI/data central but not sole focus.</t>
  </si>
  <si>
    <t xml:space="preserve">AgriEdge</t>
  </si>
  <si>
    <t xml:space="preserve">UM6P business unit for precision agriculture combining agronomic models with AI, IoT and satellite data; serves 30,000+ farmers across 5 African countries.</t>
  </si>
  <si>
    <t xml:space="preserve">https://www.moroccoworldnews.com/2022/02/49597/agriedge-ocp-groups-business-unit-to-introduce-ai-solutions-in-african-agriculture/</t>
  </si>
  <si>
    <t xml:space="preserve">OCP/UM6P-linked; site agriedge.ma.</t>
  </si>
  <si>
    <t xml:space="preserve">University AI Center of Excellence</t>
  </si>
  <si>
    <t xml:space="preserve">UM6P College of Computing</t>
  </si>
  <si>
    <t xml:space="preserve">UM6P's computer-science college building a centre of excellence in AI and ML in Benguerir; partners with NVIDIA, MIT, Cambridge, EPFL, Berkeley.</t>
  </si>
  <si>
    <t xml:space="preserve">https://cc.um6p.ma/</t>
  </si>
  <si>
    <t xml:space="preserve">AI/ML research focus confirmed on official site.</t>
  </si>
  <si>
    <t xml:space="preserve">University AI Research Lab</t>
  </si>
  <si>
    <t xml:space="preserve">ADMIR Laboratory (Rabat IT Center)</t>
  </si>
  <si>
    <t xml:space="preserve">Research lab at ENSIAS, Mohammed V University Rabat, focused on data mining, AI and information retrieval.</t>
  </si>
  <si>
    <t xml:space="preserve">Rabat IT Center</t>
  </si>
  <si>
    <t xml:space="preserve">https://asai2018rabat-it-center.github.io/</t>
  </si>
  <si>
    <t xml:space="preserve">[Pending verification] Conference-page source.</t>
  </si>
  <si>
    <t xml:space="preserve">Responsible-AI / DPI Lab</t>
  </si>
  <si>
    <t xml:space="preserve">Al Akhawayn University Digital Innovation Lab</t>
  </si>
  <si>
    <t xml:space="preserve">Lab at Al Akhawayn University, Ifrane (with CMU-Africa Upanzi Network) focused on digital public infrastructure, cybersecurity and responsible AI.</t>
  </si>
  <si>
    <t xml:space="preserve">CMU Africa (Upanzi Network)</t>
  </si>
  <si>
    <t xml:space="preserve">https://www.cmu.edu/africa/</t>
  </si>
  <si>
    <t xml:space="preserve">[Pending verification] Lab existence via CMU-Africa.</t>
  </si>
  <si>
    <t xml:space="preserve">Franco-Moroccan AI Research</t>
  </si>
  <si>
    <t xml:space="preserve">Franco-Moroccan Research Center in AI (ENSIAS)</t>
  </si>
  <si>
    <t xml:space="preserve">Joint Franco-Moroccan AI research initiative hosted at ENSIAS, Mohammed V University Rabat, running international AI summer schools.</t>
  </si>
  <si>
    <t xml:space="preserve">Program / event</t>
  </si>
  <si>
    <t xml:space="preserve">ENSIAS (Mohammed V University)</t>
  </si>
  <si>
    <t xml:space="preserve">https://ensias.um5.ac.ma/news/2nd-international-summer-school-artificial-intelligence-franco-moroccan-research-center-2026</t>
  </si>
  <si>
    <t xml:space="preserve">Official ENSIAS announcement of 2nd AI summer school.</t>
  </si>
  <si>
    <t xml:space="preserve">Social / Green-tech Incubator</t>
  </si>
  <si>
    <t xml:space="preserve">Espace Bidaya</t>
  </si>
  <si>
    <t xml:space="preserve">Casablanca social &amp; green-tech incubator (since 2015, Groupe SOS Maroc); 500+ projects assisted, incubating tech/AI ventures.</t>
  </si>
  <si>
    <t xml:space="preserve">Moroccopreneur</t>
  </si>
  <si>
    <t xml:space="preserve">https://moroccopreneur.com/en/bidaya-incubateur-moroccos-leading-startup-incubator-program/</t>
  </si>
  <si>
    <t xml:space="preserve">[Pending verification] Blog source; cross-ref SAFIR EU.</t>
  </si>
  <si>
    <t xml:space="preserve">Impact Incubator / Accelerator</t>
  </si>
  <si>
    <t xml:space="preserve">Impact Lab</t>
  </si>
  <si>
    <t xml:space="preserve">Casablanca incubator (2014) for high social/environmental-impact innovation; runs acceleration programs, partnered with NUMA.</t>
  </si>
  <si>
    <t xml:space="preserve">2014</t>
  </si>
  <si>
    <t xml:space="preserve">Startup Universal</t>
  </si>
  <si>
    <t xml:space="preserve">https://startupuniversal.com/country/morocco/</t>
  </si>
  <si>
    <t xml:space="preserve">[Pending verification] Aggregator source.</t>
  </si>
  <si>
    <t xml:space="preserve">Startup Campus / Incubator</t>
  </si>
  <si>
    <t xml:space="preserve">StartGate</t>
  </si>
  <si>
    <t xml:space="preserve">Startup campus offering incubation and acceleration programs and infrastructure to help startups scale in Morocco and Africa.</t>
  </si>
  <si>
    <t xml:space="preserve">StartGate (official)</t>
  </si>
  <si>
    <t xml:space="preserve">https://www.startgate.ma/programs</t>
  </si>
  <si>
    <t xml:space="preserve">Official site lists incubation/acceleration programs.</t>
  </si>
  <si>
    <t xml:space="preserve">IT / Media Incubator</t>
  </si>
  <si>
    <t xml:space="preserve">Emerging Business Factory (EBF)</t>
  </si>
  <si>
    <t xml:space="preserve">Marrakech's first private IT and media incubator and coworking space in Sidi Ghanem, supporting digital/innovative startups.</t>
  </si>
  <si>
    <t xml:space="preserve">Emerging Business Factory (official)</t>
  </si>
  <si>
    <t xml:space="preserve">https://emergingbusinessfactory.com/en/about/</t>
  </si>
  <si>
    <t xml:space="preserve">Official about page confirms incubator.</t>
  </si>
  <si>
    <t xml:space="preserve">Accelerator / Venture Builder</t>
  </si>
  <si>
    <t xml:space="preserve">212 Founders</t>
  </si>
  <si>
    <t xml:space="preserve">Casablanca acceleration + VC program (2019, backed by CDG Invest) supporting founders from concept to Series A across sectors including AI.</t>
  </si>
  <si>
    <t xml:space="preserve">https://incubatorlist.com/top-startup-accelerators-incubators-and-vcs-in-morocco</t>
  </si>
  <si>
    <t xml:space="preserve">CDG Invest program; cross-referenced.</t>
  </si>
  <si>
    <t xml:space="preserve">University Startup Accelerator</t>
  </si>
  <si>
    <t xml:space="preserve">IMPULSE (UM6P)</t>
  </si>
  <si>
    <t xml:space="preserve">UM6P (Benguerir) startup acceleration program selecting startups via an international call for applications.</t>
  </si>
  <si>
    <t xml:space="preserve">Program profile</t>
  </si>
  <si>
    <t xml:space="preserve">OCP Group</t>
  </si>
  <si>
    <t xml:space="preserve">https://www.ocpgroup.ma/en/news/um6p-welcomes-16-start-ups-selected-impulse</t>
  </si>
  <si>
    <t xml:space="preserve">Official OCP/UM6P announcement.</t>
  </si>
  <si>
    <t xml:space="preserve">Coding School / Talent Pipeline</t>
  </si>
  <si>
    <t xml:space="preserve">1337 Coding School</t>
  </si>
  <si>
    <t xml:space="preserve">UM6P/OCP peer-to-peer, tuition-free coding school (2018, inspired by 42) feeding Morocco's software/AI talent pipeline; campuses in Khouribga, Benguerir, Tetouan, Rabat.</t>
  </si>
  <si>
    <t xml:space="preserve">Wikipedia</t>
  </si>
  <si>
    <t xml:space="preserve">https://en.wikipedia.org/wiki/1337_Coding_School</t>
  </si>
  <si>
    <t xml:space="preserve">Cross-referenced with OCP Group official pages.</t>
  </si>
  <si>
    <t xml:space="preserve">Early-stage Africa VC</t>
  </si>
  <si>
    <t xml:space="preserve">Outlierz Ventures</t>
  </si>
  <si>
    <t xml:space="preserve">Morocco-based early-stage VC investing across Africa in fintech, insurtech, agritech, healthtech and logistics tech.</t>
  </si>
  <si>
    <t xml:space="preserve">Outlierz Ventures (official)</t>
  </si>
  <si>
    <t xml:space="preserve">https://www.outlierzventures.com/</t>
  </si>
  <si>
    <t xml:space="preserve">Official site; invested in Freterium.</t>
  </si>
  <si>
    <t xml:space="preserve">Early-stage Tech / B2B VC</t>
  </si>
  <si>
    <t xml:space="preserve">Witamax</t>
  </si>
  <si>
    <t xml:space="preserve">Moroccan early-stage venture fund backing software, IT and B2B startups (incl. AI fintech Talaty, mobility Enakl).</t>
  </si>
  <si>
    <t xml:space="preserve">XYZ Lab</t>
  </si>
  <si>
    <t xml:space="preserve">https://www.xyzlab.com/post/venture-capital-firms-in-morocco</t>
  </si>
  <si>
    <t xml:space="preserve">Cross-referenced with Talaty and Enakl funding.</t>
  </si>
  <si>
    <t xml:space="preserve">Venture Capital / Investment</t>
  </si>
  <si>
    <t xml:space="preserve">CDG Invest</t>
  </si>
  <si>
    <t xml:space="preserve">Rabat-based investment arm of Caisse de Depot et de Gestion (2019) investing in Moroccan/African tech; investor in Freterium, backer of 212 Founders.</t>
  </si>
  <si>
    <t xml:space="preserve">CDG (official)</t>
  </si>
  <si>
    <t xml:space="preserve">https://www.cdg.ma/en/investment-0</t>
  </si>
  <si>
    <t xml:space="preserve">State-linked CDG; confirmed Freterium investor.</t>
  </si>
  <si>
    <t xml:space="preserve">National Digital &amp; AI Agency</t>
  </si>
  <si>
    <t xml:space="preserve">Agence de Developpement du Digital (ADD)</t>
  </si>
  <si>
    <t xml:space="preserve">Government agency executing Morocco's digital strategy and coordinating national AI deployment; runs the Al-Khawarizmi applied-AI program and a dedicated AI ecosystem workstream.</t>
  </si>
  <si>
    <t xml:space="preserve">Agence de Developpement du Digital</t>
  </si>
  <si>
    <t xml:space="preserve">https://www.add.gov.ma/ecosysteme-dedie-a-lintelligence-artificielle-prioritaire</t>
  </si>
  <si>
    <t xml:space="preserve">Official government page on AI ecosystem priority.</t>
  </si>
  <si>
    <t xml:space="preserve">AI Professional Society</t>
  </si>
  <si>
    <t xml:space="preserve">Moroccan Society of AI (SMIA)</t>
  </si>
  <si>
    <t xml:space="preserve">Moroccan professional society promoting AI and machine-learning research, community and knowledge-sharing.</t>
  </si>
  <si>
    <t xml:space="preserve">SMIA (official)</t>
  </si>
  <si>
    <t xml:space="preserve">https://www.smia.ma/en/artificial-intelligence-morocco/</t>
  </si>
  <si>
    <t xml:space="preserve">Official society site.</t>
  </si>
  <si>
    <t xml:space="preserve">Software Testing / QA</t>
  </si>
  <si>
    <t xml:space="preserve">Thunder Code</t>
  </si>
  <si>
    <t xml:space="preserve">AI-native software-testing platform using generative-AI agents that simulate human testers to run automated QA in plain English; founded 2025 by ex-Expensya founders.</t>
  </si>
  <si>
    <t xml:space="preserve">$9,000,000</t>
  </si>
  <si>
    <t xml:space="preserve">Forbes Middle East</t>
  </si>
  <si>
    <t xml:space="preserve">https://www.forbesmiddleeast.com/innovation/startups/ai-software-testing-platform-thunder-code-raises-$9m-seed-round</t>
  </si>
  <si>
    <t xml:space="preserve">$9M seed led by Silicon Badia, Janngo, Titan Seed. Confirmed via dedicated research pass: AI-native software testing platform, $9M seed (June 2025, Silicon Badia-led).</t>
  </si>
  <si>
    <t xml:space="preserve">Insurtech / Fraud Detection</t>
  </si>
  <si>
    <t xml:space="preserve">Unfrauded</t>
  </si>
  <si>
    <t xml:space="preserve">Ariana startup (2019) with an AI tool detecting automotive-insurance fraud via 60+ fraud indicators and automating claim assessment.</t>
  </si>
  <si>
    <t xml:space="preserve">Unfrauded official</t>
  </si>
  <si>
    <t xml:space="preserve">https://unfrauded.com/company</t>
  </si>
  <si>
    <t xml:space="preserve">Cross-checked with Crunchbase; Flat6Labs alumnus.</t>
  </si>
  <si>
    <t xml:space="preserve">Capital Markets AI</t>
  </si>
  <si>
    <t xml:space="preserve">Deepera</t>
  </si>
  <si>
    <t xml:space="preserve">Tunis startup building AI research, portfolio-management, algorithmic-trading and stock-market analysis platforms for financial institutions.</t>
  </si>
  <si>
    <t xml:space="preserve">https://tracxn.com/d/companies/deepera/__TdDGRU10hZuwk-qtVH0Va_nDB3WYScJhCwMn5f_6jPk</t>
  </si>
  <si>
    <t xml:space="preserve">Corroborated by CEED FinTech Catalyst program.</t>
  </si>
  <si>
    <t xml:space="preserve">Insurtech / Claims</t>
  </si>
  <si>
    <t xml:space="preserve">AVIDEA</t>
  </si>
  <si>
    <t xml:space="preserve">Startup (2017) digitising automobile-insurance claims and fighting fraud via DigiClaim and DigiFraud.</t>
  </si>
  <si>
    <t xml:space="preserve">$650,000</t>
  </si>
  <si>
    <t xml:space="preserve">Startup Tunisia (startup.gov.tn)</t>
  </si>
  <si>
    <t xml:space="preserve">https://startup.gov.tn/en/news/avidea-completes-round-financing-2-million-dinars</t>
  </si>
  <si>
    <t xml:space="preserve">Pre-Series A led by Capsa Capital &amp; 216 Capital.</t>
  </si>
  <si>
    <t xml:space="preserve">Academic AI Lab</t>
  </si>
  <si>
    <t xml:space="preserve">ReGIM-Lab (Research Groups in Intelligent Machines)</t>
  </si>
  <si>
    <t xml:space="preserve">Lab at ENIS, University of Sfax (1997), focused on AI, deep learning, computer vision, NLP and multimodal signal data science.</t>
  </si>
  <si>
    <t xml:space="preserve">Institution profile</t>
  </si>
  <si>
    <t xml:space="preserve">1997</t>
  </si>
  <si>
    <t xml:space="preserve">ENIS (official)</t>
  </si>
  <si>
    <t xml:space="preserve">https://enis.rnu.tn/fra/pages/399/ReGIM-Lab.-REsearch-Groups-in-Intelligent-Machines-(LR11ES48)</t>
  </si>
  <si>
    <t xml:space="preserve">Confirmed via lab site regimlab.org.</t>
  </si>
  <si>
    <t xml:space="preserve">SETIT Lab</t>
  </si>
  <si>
    <t xml:space="preserve">University of Sfax lab researching smart systems for engineering and e-health, incl. deep-learning activity recognition and AI/IoT patient monitoring.</t>
  </si>
  <si>
    <t xml:space="preserve">SETIT / University of Sfax</t>
  </si>
  <si>
    <t xml:space="preserve">http://www.setit.rnu.tn/</t>
  </si>
  <si>
    <t xml:space="preserve">e-health AI focus; output on ResearchGate.</t>
  </si>
  <si>
    <t xml:space="preserve">LIMTIC Laboratory</t>
  </si>
  <si>
    <t xml:space="preserve">Lab at ISI, University of Tunis El Manar, specialising in intelligent systems for imaging and artificial vision.</t>
  </si>
  <si>
    <t xml:space="preserve">ResearchGate</t>
  </si>
  <si>
    <t xml:space="preserve">https://www.researchgate.net/lab/Intelligent-Systems-in-Imaging-and-Artificial-Vision-LIMTIC-Laboratory-H-Ezzeddine-Zagrouba</t>
  </si>
  <si>
    <t xml:space="preserve">[Pending verification] ResearchGate source only. Confirmed via dedicated research pass: genuine AI/computer-vision lab (LR16ES06, ISI, University of Tunis El Manar, dir. Prof. Ezzeddine Zagrouba).</t>
  </si>
  <si>
    <t xml:space="preserve">MEDIATRON Lab (SUP'COM)</t>
  </si>
  <si>
    <t xml:space="preserve">Communication and signal-processing lab at SUP'COM (University of Carthage) involved in AI and signal-processing research.</t>
  </si>
  <si>
    <t xml:space="preserve">Wikipedia / ResearchGate</t>
  </si>
  <si>
    <t xml:space="preserve">https://en.wikipedia.org/wiki/Higher_School_of_Communication_of_Tunis</t>
  </si>
  <si>
    <t xml:space="preserve">[Pending verification] Wikipedia/ResearchGate only. CORRECTED framing: confirmed via dedicated research pass this is a Sup'Com communications/signal-processing research unit that APPLIES AI as a tool - not an AI-first lab. Marked Verified with this clarification.</t>
  </si>
  <si>
    <t xml:space="preserve">GRES'COM Lab (SUP'COM)</t>
  </si>
  <si>
    <t xml:space="preserve">Green &amp; Smart Communication Systems lab at SUP'COM (2011) working on AI-integrated edge devices, cognitive radio and quantum-based cybersecurity.</t>
  </si>
  <si>
    <t xml:space="preserve">2011</t>
  </si>
  <si>
    <t xml:space="preserve">https://www.researchgate.net/lab/GresCom-Lab-Mourad-Menif</t>
  </si>
  <si>
    <t xml:space="preserve">[Pending verification] ResearchGate source only. CORRECTED framing: confirmed via dedicated research pass this is a Sup'Com telecom/signal-processing unit ('Green and Smart Communication Systems') that applies AI (e.g. neural nets for modulation recognition) as a tool - not an AI-first lab. Marked Verified with this clarification.</t>
  </si>
  <si>
    <t xml:space="preserve">Incubator / Accelerator</t>
  </si>
  <si>
    <t xml:space="preserve">WikiStartup</t>
  </si>
  <si>
    <t xml:space="preserve">First private incubator/accelerator in Tunisia (2011) supporting entrepreneurs, investors and public/private structures.</t>
  </si>
  <si>
    <t xml:space="preserve">https://startup.gov.tn/en/node/129</t>
  </si>
  <si>
    <t xml:space="preserve">Listed as official Startup Tunisia partner.</t>
  </si>
  <si>
    <t xml:space="preserve">Incubator</t>
  </si>
  <si>
    <t xml:space="preserve">IntilaQ</t>
  </si>
  <si>
    <t xml:space="preserve">Business and innovation center (2014) building ICT capacities of young Tunisians; backed by Qatar Fund For Development, Microsoft Tunisia, Ooredoo.</t>
  </si>
  <si>
    <t xml:space="preserve">IntilaQ (official)</t>
  </si>
  <si>
    <t xml:space="preserve">https://intilaq.tn/</t>
  </si>
  <si>
    <t xml:space="preserve">Founding partners corroborated by IST-Africa.</t>
  </si>
  <si>
    <t xml:space="preserve">Corporate Incubator</t>
  </si>
  <si>
    <t xml:space="preserve">B@Labs</t>
  </si>
  <si>
    <t xml:space="preserve">Startup incubation program launched by BIAT bank (2017) in Tunis, offering 4-16 month incubation, space, expertise and market access.</t>
  </si>
  <si>
    <t xml:space="preserve">B@Labs (official)</t>
  </si>
  <si>
    <t xml:space="preserve">https://www.biatlabs.com/en/home/</t>
  </si>
  <si>
    <t xml:space="preserve">Launch &amp; BIAT backing corroborated by Wamda.</t>
  </si>
  <si>
    <t xml:space="preserve">Digital Innovation Hub</t>
  </si>
  <si>
    <t xml:space="preserve">The Dot</t>
  </si>
  <si>
    <t xml:space="preserve">First digital innovation hub in Tunisia (2021) via public-private partnership, supporting startups and public-sector digital transformation.</t>
  </si>
  <si>
    <t xml:space="preserve">The Dot (official)</t>
  </si>
  <si>
    <t xml:space="preserve">https://thedot.tn/en</t>
  </si>
  <si>
    <t xml:space="preserve">Public-private partnership confirmed by VC4A.</t>
  </si>
  <si>
    <t xml:space="preserve">RedStart Tunisie</t>
  </si>
  <si>
    <t xml:space="preserve">Accelerator/incubator (partnership with French Redstart) providing mentors, experts and investor networks to startups and innovative SMEs.</t>
  </si>
  <si>
    <t xml:space="preserve">RedStart Tunisie (official)</t>
  </si>
  <si>
    <t xml:space="preserve">https://redstart.tn/</t>
  </si>
  <si>
    <t xml:space="preserve">Startup Tunisia partner and AfriLabs member.</t>
  </si>
  <si>
    <t xml:space="preserve">Medical Devices / Prosthetics</t>
  </si>
  <si>
    <t xml:space="preserve">Cure Bionics</t>
  </si>
  <si>
    <t xml:space="preserve">Startup (2017) developing 3D-printed, solar-powered bionic hands using muscle sensors and AI-assisted software to interpret movement for amputees.</t>
  </si>
  <si>
    <t xml:space="preserve">Africanews</t>
  </si>
  <si>
    <t xml:space="preserve">https://www.africanews.com/2020/11/03/tunisian-startup-develops-a-customisable-bionic-hand-device/</t>
  </si>
  <si>
    <t xml:space="preserve">Founder recognized by MIT Tech Review / TIME.</t>
  </si>
  <si>
    <t xml:space="preserve">NLP / Speech AI</t>
  </si>
  <si>
    <t xml:space="preserve">Elyadata</t>
  </si>
  <si>
    <t xml:space="preserve">La Marsa data-science company specialising in speech processing and document AI for low-resource Arabic dialects (NLP, NER, TTS, sentiment).</t>
  </si>
  <si>
    <t xml:space="preserve">Elyadata (official)</t>
  </si>
  <si>
    <t xml:space="preserve">https://www.elyadata.com/en</t>
  </si>
  <si>
    <t xml:space="preserve">Interspeech 2023 research and GitHub repos corroborate.</t>
  </si>
  <si>
    <t xml:space="preserve">Digital Identity / Payments</t>
  </si>
  <si>
    <t xml:space="preserve">Kaoun (Flouci)</t>
  </si>
  <si>
    <t xml:space="preserve">Startup (2019) whose machine-vision software verifies national-ID authenticity and runs facial recognition for remote KYC, powering the Flouci super-app.</t>
  </si>
  <si>
    <t xml:space="preserve">https://ventureburn.com/2022/08/founder-uses-fintech-speed-up-tunisia/</t>
  </si>
  <si>
    <t xml:space="preserve">AI machine-vision/facial-recognition role corroborated.</t>
  </si>
  <si>
    <t xml:space="preserve">Wearables / Neurology</t>
  </si>
  <si>
    <t xml:space="preserve">Epilert</t>
  </si>
  <si>
    <t xml:space="preserve">Startup (2017) developing a wearable bracelet combining biometrics and ML to detect/predict epileptic seizures within 30 seconds and alert caregivers.</t>
  </si>
  <si>
    <t xml:space="preserve">https://www.wamda.com/2020/02/tunisian-startup-epilert-english</t>
  </si>
  <si>
    <t xml:space="preserve">ML-based seizure detection corroborated by Arab News.</t>
  </si>
  <si>
    <t xml:space="preserve">RegTech / AML</t>
  </si>
  <si>
    <t xml:space="preserve">Vneuron (Reis Risk &amp; Compliance)</t>
  </si>
  <si>
    <t xml:space="preserve">Software firm (2007) whose Reis suite uses AI/ML for real-time AML transaction monitoring, KYC screening and fraud detection; Best AML Solution Provider, Waters Rankings 2023.</t>
  </si>
  <si>
    <t xml:space="preserve">2007</t>
  </si>
  <si>
    <t xml:space="preserve">Vneuron (official)</t>
  </si>
  <si>
    <t xml:space="preserve">https://www.vneuron.com/</t>
  </si>
  <si>
    <t xml:space="preserve">AI/ML in Reis suite corroborated by RegTech Analyst.</t>
  </si>
  <si>
    <t xml:space="preserve">R&amp;D / Innovation Center</t>
  </si>
  <si>
    <t xml:space="preserve">Talan Tunisie Innovation Factory</t>
  </si>
  <si>
    <t xml:space="preserve">R&amp;D center of Talan Tunisie (nearshore center of France's Talan Group, 500+ engineers) focused on generative AI, data intelligence and blockchain.</t>
  </si>
  <si>
    <t xml:space="preserve">Talan (official)</t>
  </si>
  <si>
    <t xml:space="preserve">https://www.talan.com/global/en/unleash-your-potential-generative-ai</t>
  </si>
  <si>
    <t xml:space="preserve">Innovation Factory as Talan Tunisie R&amp;D arm corroborated.</t>
  </si>
  <si>
    <t xml:space="preserve">AI Infrastructure / HPC</t>
  </si>
  <si>
    <t xml:space="preserve">National Supercomputer (Al-Khawarizmi Computing Center)</t>
  </si>
  <si>
    <t xml:space="preserve">National HPC facility (launch late 2025) built with China, hosted at the Al-Khawarizmi Computing Center (CCK), to serve AI, big-data and modeling research with data stored in Tunisia.</t>
  </si>
  <si>
    <t xml:space="preserve">News report</t>
  </si>
  <si>
    <t xml:space="preserve">2025-12</t>
  </si>
  <si>
    <t xml:space="preserve">La Presse de Tunisie</t>
  </si>
  <si>
    <t xml:space="preserve">https://www.lapresse.tn/2025/12/04/intelligence-artificielle-la-tunisie-sapprete-a-lancer-le-troisieme-supercalculateur-le-plus-puissant-dafrique/</t>
  </si>
  <si>
    <t xml:space="preserve">Corroborated by Tuniscope and African Manager.</t>
  </si>
  <si>
    <t xml:space="preserve">National AI Governance</t>
  </si>
  <si>
    <t xml:space="preserve">Tunisia National AI Strategy 2026-2030</t>
  </si>
  <si>
    <t xml:space="preserve">Successor national AI strategy establishing a National AI Council and a National AI Fund to finance AI research and infrastructure 2026-2030.</t>
  </si>
  <si>
    <t xml:space="preserve">Policy document</t>
  </si>
  <si>
    <t xml:space="preserve">Tunisian Monitor</t>
  </si>
  <si>
    <t xml:space="preserve">https://tmo-mag.com.tn/tunisia-taps-artificial-intelligence-to-shape-2026-2030-development-plan/</t>
  </si>
  <si>
    <t xml:space="preserve">[Pending verification] Council/Fund not yet in official gazette. CORRECTED framing: dedicated research pass found that AI is embedded IN Tunisia's 2026-2030 National Development Plan (building on the 2021-2025 National AI Strategy), but a standalone codified 'National AI Strategy 2026-2030' document rests only on lower-quality aggregator sources. Keeping status as Not yet verified pending a primary/official source for the standalone claim.</t>
  </si>
  <si>
    <t xml:space="preserve">Government AI Program</t>
  </si>
  <si>
    <t xml:space="preserve">Center of Excellence in AI for Health</t>
  </si>
  <si>
    <t xml:space="preserve">Government initiative (2026) to create a Center of Excellence in AI for Health under tripartite governance (Health, ICT, Higher Education), using the national supercomputer.</t>
  </si>
  <si>
    <t xml:space="preserve">2026-07-21</t>
  </si>
  <si>
    <t xml:space="preserve">L'Economiste Maghrebin</t>
  </si>
  <si>
    <t xml:space="preserve">https://www.leconomistemaghrebin.com/2026/07/21/sante-numerique-la-tunisie-mise-sur-lintelligence-artificielle-pour-transformer-son-systeme-de-soins/</t>
  </si>
  <si>
    <t xml:space="preserve">Tripartite governance corroborated by multiple 2026 outlets.</t>
  </si>
  <si>
    <t xml:space="preserve">National Health System Digitalization (Tunisie Telecom)</t>
  </si>
  <si>
    <t xml:space="preserve">Government program (2026) assigning Tunisie Telecom four missions to digitise the health system - broadband, sovereign cloud, AI and a digital call center.</t>
  </si>
  <si>
    <t xml:space="preserve">2026-02</t>
  </si>
  <si>
    <t xml:space="preserve">Telecom Review Africa</t>
  </si>
  <si>
    <t xml:space="preserve">https://www.telecomreviewafrica.com/articles/reports-and-coverage/28283-tunisia-telecom-partners-with-ministry-of-health-to-drive-digital-healthcare-transformation/</t>
  </si>
  <si>
    <t xml:space="preserve">Ministerial meeting &amp; four missions corroborated by Ecofin.</t>
  </si>
  <si>
    <t xml:space="preserve">AI Professional Association</t>
  </si>
  <si>
    <t xml:space="preserve">ATIA (Association Tunisienne pour l'Intelligence Artificielle)</t>
  </si>
  <si>
    <t xml:space="preserve">Non-profit (2005, founded by Prof. Khaled Ghedira) promoting AI's socio-economic role and mobilising the AI ecosystem.</t>
  </si>
  <si>
    <t xml:space="preserve">2005</t>
  </si>
  <si>
    <t xml:space="preserve">ATIA (official)</t>
  </si>
  <si>
    <t xml:space="preserve">https://atia.org.tn/</t>
  </si>
  <si>
    <t xml:space="preserve">Distinct from TAIS; founding corroborated.</t>
  </si>
  <si>
    <t xml:space="preserve">Venture Capital / PE</t>
  </si>
  <si>
    <t xml:space="preserve">AfricInvest</t>
  </si>
  <si>
    <t xml:space="preserve">Tunis-HQ pan-African investment platform (1994) managing ~EUR1.1bn across 18 funds; Cathay AfricInvest Innovation Fund backs tech/AI-adjacent startups (e.g. GoMyCode).</t>
  </si>
  <si>
    <t xml:space="preserve">1994</t>
  </si>
  <si>
    <t xml:space="preserve">AfricInvest (official)</t>
  </si>
  <si>
    <t xml:space="preserve">https://www.africinvest.com/the-firm/</t>
  </si>
  <si>
    <t xml:space="preserve">[Pending verification] AI-specific mandate moderate. Confirmed via dedicated research pass: real Tunis-based PE/VC (est. 1994, ~$1B AUM), co-financed InstaDeep's Series A. Note: generalist PE/VC investor, not AI-exclusive - AI is one of several sectors it backs.</t>
  </si>
  <si>
    <t xml:space="preserve">Asset Management / PE</t>
  </si>
  <si>
    <t xml:space="preserve">UGFS-North Africa</t>
  </si>
  <si>
    <t xml:space="preserve">Tunis-based asset management and PE firm (2008, CMF-licensed) managing venture and PE funds active in Tunisia's tech and startup ecosystem.</t>
  </si>
  <si>
    <t xml:space="preserve">2008</t>
  </si>
  <si>
    <t xml:space="preserve">UGFS-NA (official)</t>
  </si>
  <si>
    <t xml:space="preserve">https://www.ugfsnorthafrica.com.tn/</t>
  </si>
  <si>
    <t xml:space="preserve">[Pending verification] Direct AI investments not individually verified. Confirmed via dedicated research pass: real Tunis asset manager; New Era Fund I (EUR7M first close) targets AI, biotech and green tech - AI is one of three sectors, not exclusive focus.</t>
  </si>
  <si>
    <t xml:space="preserve">AI Incubator</t>
  </si>
  <si>
    <t xml:space="preserve">DjazairIA</t>
  </si>
  <si>
    <t xml:space="preserve">Algeria's first private incubator entirely dedicated to AI (launched Sept 2025); offers coworking, coaching, fundraising and a partnership with Toronto Metropolitan University's DMZ.</t>
  </si>
  <si>
    <t xml:space="preserve">2025-09-13</t>
  </si>
  <si>
    <t xml:space="preserve">DjazairIA (official)</t>
  </si>
  <si>
    <t xml:space="preserve">https://djazairia.com/incubateur/</t>
  </si>
  <si>
    <t xml:space="preserve">Confirmed via primary site + Canadian/Algerian press.</t>
  </si>
  <si>
    <t xml:space="preserve">University AI Center</t>
  </si>
  <si>
    <t xml:space="preserve">Maison de l'Intelligence Artificielle (House of AI)</t>
  </si>
  <si>
    <t xml:space="preserve">Network of university 'AI Houses'; the first was inaugurated at University Alger 1 (Feb 2023) as collaborative AI-popularisation and research spaces, since expanded.</t>
  </si>
  <si>
    <t xml:space="preserve">Government announcement</t>
  </si>
  <si>
    <t xml:space="preserve">2023-02</t>
  </si>
  <si>
    <t xml:space="preserve">Ministry of Higher Education &amp; Scientific Research (MESRS)</t>
  </si>
  <si>
    <t xml:space="preserve">https://www.mesrs.dz/</t>
  </si>
  <si>
    <t xml:space="preserve">Verified on MESRS + Arab News FR; distinct from ENSIA.</t>
  </si>
  <si>
    <t xml:space="preserve">Arabic / Tamazight NLP</t>
  </si>
  <si>
    <t xml:space="preserve">Fentech (Tamatech)</t>
  </si>
  <si>
    <t xml:space="preserve">Algerian-French AI startup that, with Prof. Merouane Debbah, built the Hadretna LLM for Algerian Darija and Tamazight using ~2 billion crowdsourced tokens.</t>
  </si>
  <si>
    <t xml:space="preserve">Company distinct from the Hadretna model; cross-checked.</t>
  </si>
  <si>
    <t xml:space="preserve">Public Venture Programme / Fund</t>
  </si>
  <si>
    <t xml:space="preserve">National Venture Studio Programme</t>
  </si>
  <si>
    <t xml:space="preserve">$600M public-private, five-year programme (Algerian Startup Fund + CERIST + venture studio DeepMinds) to create 1,000+ tech ventures across all 58 provinces.</t>
  </si>
  <si>
    <t xml:space="preserve">$600,000,000</t>
  </si>
  <si>
    <t xml:space="preserve">https://www.middleeastainews.com/p/algeria-venture-studio-1000-startups</t>
  </si>
  <si>
    <t xml:space="preserve">Cross-verified via DeepMinds press release and BridgeMENA.</t>
  </si>
  <si>
    <t xml:space="preserve">Venture Studio</t>
  </si>
  <si>
    <t xml:space="preserve">DeepMinds</t>
  </si>
  <si>
    <t xml:space="preserve">Decentralised venture studio and co-lead of Algeria's National Venture Studio Programme, turning national research into market-ready deeptech/AI companies.</t>
  </si>
  <si>
    <t xml:space="preserve">DeepMinds (official)</t>
  </si>
  <si>
    <t xml:space="preserve">https://deepminds.me/press/A-New-Era-for-Innovation-ASF-CERIST-DeepMinds-Unite-to-Build-1000-Tech-Ventures-Across-Algeria</t>
  </si>
  <si>
    <t xml:space="preserve">Confirmed on company site + Middle East AI News.</t>
  </si>
  <si>
    <t xml:space="preserve">Afiya Investments</t>
  </si>
  <si>
    <t xml:space="preserve">First venture-capital fund (FCPR) approved by Algeria's market regulator COSOB, managed by Tell Group, financing innovative early/growth-stage startups.</t>
  </si>
  <si>
    <t xml:space="preserve">Techpression</t>
  </si>
  <si>
    <t xml:space="preserve">https://techpression.com/algeria-startup-ecosystem-2025-reforms-driving-tech-innovation-and-growth/</t>
  </si>
  <si>
    <t xml:space="preserve">[Pending verification] AI-specific mandate general. Confirmed via dedicated research pass: Algeria's first COSOB-approved private VC vehicle (FCPR), managed by Tell Markets. Note: AI is not an explicit mandate - general VC vehicle.</t>
  </si>
  <si>
    <t xml:space="preserve">Deeptech Acceleration</t>
  </si>
  <si>
    <t xml:space="preserve">CERIST Deeptech Innovation Hub</t>
  </si>
  <si>
    <t xml:space="preserve">GPU-powered acceleration hub launched by national research centre CERIST to convert research into scalable AI and cybersecurity ventures.</t>
  </si>
  <si>
    <t xml:space="preserve">iAfrica</t>
  </si>
  <si>
    <t xml:space="preserve">https://iafrica.com/algerias-cerist-launches-deeptech-innovation-hub-to-convert-research-into-scalable-ai-and-cybersecurity-ventures/</t>
  </si>
  <si>
    <t xml:space="preserve">Sub-initiative distinct from CERIST; cross-checked.</t>
  </si>
  <si>
    <t xml:space="preserve">AI Application / Award</t>
  </si>
  <si>
    <t xml:space="preserve">AIDI - AI for Digital Inclusion (Algerie Telecom)</t>
  </si>
  <si>
    <t xml:space="preserve">AI system using citizen-generated data to map digital-inclusion gaps and support policy; won an ITU Certificate of Recognition at the WSIS Prizes 2026.</t>
  </si>
  <si>
    <t xml:space="preserve">Algerie Presse Service (APS)</t>
  </si>
  <si>
    <t xml:space="preserve">https://www.aps.dz/en/algeria/education-technology/mrdhviw0-algerie-telecom-wins-international-award-at-wsis-forum</t>
  </si>
  <si>
    <t xml:space="preserve">Award corroborated by ITU press release.</t>
  </si>
  <si>
    <t xml:space="preserve">Digital Government Agency</t>
  </si>
  <si>
    <t xml:space="preserve">Haut-Commissariat a la Numerisation (HCN)</t>
  </si>
  <si>
    <t xml:space="preserve">Presidential-level agency (Sept 2023) steering the national digital-transformation strategy 2025-2030, data governance and the DZair Digital Services portal.</t>
  </si>
  <si>
    <t xml:space="preserve">2023-09</t>
  </si>
  <si>
    <t xml:space="preserve">Algeria Invest</t>
  </si>
  <si>
    <t xml:space="preserve">https://algeriainvest.com/</t>
  </si>
  <si>
    <t xml:space="preserve">Cross-verified with We Are Tech Africa (Huawei partnership).</t>
  </si>
  <si>
    <t xml:space="preserve">AI Talent Competition</t>
  </si>
  <si>
    <t xml:space="preserve">Algerian Olympiad in AI (AOAI)</t>
  </si>
  <si>
    <t xml:space="preserve">National university AI olympiad under MESRS selecting/training students for the International Olympiad in AI; Algeria won 4 medals at the 2026 African AI Olympiad.</t>
  </si>
  <si>
    <t xml:space="preserve">Radio Algerie</t>
  </si>
  <si>
    <t xml:space="preserve">https://news.radioalgerie.dz/en/node/83863</t>
  </si>
  <si>
    <t xml:space="preserve">Official portal ai.algerianoi.com.</t>
  </si>
  <si>
    <t xml:space="preserve">AI Skills Training</t>
  </si>
  <si>
    <t xml:space="preserve">Skills Centers (Scale Centers) network</t>
  </si>
  <si>
    <t xml:space="preserve">Government network of seven free regional digital-skills centres (Algiers, Oran, Annaba, Setif, Chlef, Saida, Adrar) training youth in AI, IoT, cybersecurity and cloud.</t>
  </si>
  <si>
    <t xml:space="preserve">https://www.wearetech.africa/en/fils-uk/news/public-management/algeria-launches-setif-skills-center-to-boost-youth-innovation-with-free-ai-and-ict-training</t>
  </si>
  <si>
    <t xml:space="preserve">Corroborated by TechAfrica News.</t>
  </si>
  <si>
    <t xml:space="preserve">University AI Lab</t>
  </si>
  <si>
    <t xml:space="preserve">ERIA - Equipe de Recherche en Intelligence Artificielle</t>
  </si>
  <si>
    <t xml:space="preserve">AI research team within the Laboratoire d'Informatique (LRI) at Badji Mokhtar - Annaba University.</t>
  </si>
  <si>
    <t xml:space="preserve">LRI, Universite Badji Mokhtar Annaba</t>
  </si>
  <si>
    <t xml:space="preserve">https://lri.univ-annaba.dz/?p=42</t>
  </si>
  <si>
    <t xml:space="preserve">Verified on university lab site.</t>
  </si>
  <si>
    <t xml:space="preserve">AI-for-Good Competition</t>
  </si>
  <si>
    <t xml:space="preserve">Djazairia Challenge 2025 - IA for Good</t>
  </si>
  <si>
    <t xml:space="preserve">AI-for-impact challenge positioning AI as a development lever for Africa, run with the Printemps numerique organisation.</t>
  </si>
  <si>
    <t xml:space="preserve">Printemps numerique</t>
  </si>
  <si>
    <t xml:space="preserve">https://www.printempsnumerique.ca/</t>
  </si>
  <si>
    <t xml:space="preserve">[Pending verification] Run partly by a Canadian partner.</t>
  </si>
  <si>
    <t xml:space="preserve">Mobility Super-App</t>
  </si>
  <si>
    <t xml:space="preserve">TemTem</t>
  </si>
  <si>
    <t xml:space="preserve">Ride-hailing/delivery/e-commerce super-app (200,000+ clients, 4,000+ drivers across 21 wilayas) using AI for routing/logistics; raised $1.7M seed + $4M Series A.</t>
  </si>
  <si>
    <t xml:space="preserve">News / aggregator</t>
  </si>
  <si>
    <t xml:space="preserve">Mag Startup</t>
  </si>
  <si>
    <t xml:space="preserve">https://www.magstartup.com/10-startups-algeriennes-a-suivre-en-2026-au-dela-du-bruit/</t>
  </si>
  <si>
    <t xml:space="preserve">[Pending verification] AI-core classification via secondary sources.</t>
  </si>
  <si>
    <t xml:space="preserve">Travel-Tech</t>
  </si>
  <si>
    <t xml:space="preserve">VOLZ</t>
  </si>
  <si>
    <t xml:space="preserve">Travel-booking platform letting users book flights and pay in Algerian dinars; closed a $5M Series A (Dec 2025), first exit for the Algerian Startup Fund.</t>
  </si>
  <si>
    <t xml:space="preserve">Technext</t>
  </si>
  <si>
    <t xml:space="preserve">https://technext24.com/2025/12/15/volz-closes-5m-series-a-largest-algeria/</t>
  </si>
  <si>
    <t xml:space="preserve">[Pending verification] AI-core classification via secondary only.</t>
  </si>
  <si>
    <t xml:space="preserve">AI Higher Education</t>
  </si>
  <si>
    <t xml:space="preserve">Faculty of Artificial Intelligence, Kafr El-Sheikh University</t>
  </si>
  <si>
    <t xml:space="preserve">First dedicated Faculty of Artificial Intelligence in Egypt (first intake 2019/2020); four-year BSc covering smart systems, IoT and nanotechnology, established with Hamdan Bin Mohammed Smart University (UAE).</t>
  </si>
  <si>
    <t xml:space="preserve">Academic institution profile</t>
  </si>
  <si>
    <t xml:space="preserve">Egypt Today</t>
  </si>
  <si>
    <t xml:space="preserve">https://www.egypttoday.com/Article/1/73007/First-ever-Egyptian-AI-faculty-inaugurated</t>
  </si>
  <si>
    <t xml:space="preserve">Confirmed via Egypt Today; faculty active.</t>
  </si>
  <si>
    <t xml:space="preserve">Faculty of Artificial Intelligence, Menoufia University</t>
  </si>
  <si>
    <t xml:space="preserve">Public AI faculty established 2021 in Shebin El-Kom; BSc in AI (144 credit hours) with departments in Machine Intelligence, Data Science, Cyber Security and Intelligent Systems Engineering.</t>
  </si>
  <si>
    <t xml:space="preserve">Menoufia University (official)</t>
  </si>
  <si>
    <t xml:space="preserve">https://mu.menofia.edu.eg/MUIS/NewsDetails/142469/en</t>
  </si>
  <si>
    <t xml:space="preserve">Verified on official university portal; studies began Aug 2021.</t>
  </si>
  <si>
    <t xml:space="preserve">Faculty of Computers and AI, Helwan University</t>
  </si>
  <si>
    <t xml:space="preserve">Helwan's computing faculty (est. 1995), renamed Faculty of Computers and Artificial Intelligence; undergraduate and postgraduate programs incl. software engineering and AI/CS degrees.</t>
  </si>
  <si>
    <t xml:space="preserve">Helwan University FCAI (official)</t>
  </si>
  <si>
    <t xml:space="preserve">https://fcih.helwan.edu.eg/index.php/en/about-the-faculty/about</t>
  </si>
  <si>
    <t xml:space="preserve">Official faculty website confirms AI-inclusive name and programs.</t>
  </si>
  <si>
    <t xml:space="preserve">Faculty of Computers and AI, Benha University</t>
  </si>
  <si>
    <t xml:space="preserve">Public faculty (BFCAI) training graduates in computer science and AI; research cooperation protocol signed with Health Insights Company.</t>
  </si>
  <si>
    <t xml:space="preserve">Benha University FCAI (official)</t>
  </si>
  <si>
    <t xml:space="preserve">https://en.fci.bu.edu.eg/</t>
  </si>
  <si>
    <t xml:space="preserve">Official English site live; protocol confirmed on bu.edu.eg.</t>
  </si>
  <si>
    <t xml:space="preserve">AI &amp; Data Science Education</t>
  </si>
  <si>
    <t xml:space="preserve">Faculty of Computers and Data Science, Alexandria University</t>
  </si>
  <si>
    <t xml:space="preserve">Dedicated faculty graduating specialists in data science, AI, intelligent systems and media analytics, from health data to e-commerce applications.</t>
  </si>
  <si>
    <t xml:space="preserve">Alexandria University FCDS (official)</t>
  </si>
  <si>
    <t xml:space="preserve">https://fcds.alexu.edu.eg/index.php/en/</t>
  </si>
  <si>
    <t xml:space="preserve">Official faculty site confirms AI/data-science mandate.</t>
  </si>
  <si>
    <t xml:space="preserve">College of Artificial Intelligence, AASTMT (El Alamein)</t>
  </si>
  <si>
    <t xml:space="preserve">Arab Academy for Science, Technology and Maritime Transport college of AI at El Alamein; four-year programs in ML, computer vision, NLP, data science, robotics and cybersecurity.</t>
  </si>
  <si>
    <t xml:space="preserve">AASTMT (official)</t>
  </si>
  <si>
    <t xml:space="preserve">https://www.aast.edu/en/colleges/CAI/</t>
  </si>
  <si>
    <t xml:space="preserve">Official AASTMT college pages verified.</t>
  </si>
  <si>
    <t xml:space="preserve">Faculty of Artificial Intelligence, Egyptian Russian University</t>
  </si>
  <si>
    <t xml:space="preserve">Private university in Badr City with a dedicated Faculty of AI preparing specialized computing/AI cadres; students published AI research at international conferences.</t>
  </si>
  <si>
    <t xml:space="preserve">Egyptian Russian University (official)</t>
  </si>
  <si>
    <t xml:space="preserve">https://eru.edu.eg/faculty-of-artificial-intelligence/</t>
  </si>
  <si>
    <t xml:space="preserve">Official ERU faculty page verified.</t>
  </si>
  <si>
    <t xml:space="preserve">Faculty of Artificial Intelligence, Horus University Egypt</t>
  </si>
  <si>
    <t xml:space="preserve">Private university in Damietta (HUE) with a dedicated Faculty of AI advancing education and research in AI, data science and modern technologies.</t>
  </si>
  <si>
    <t xml:space="preserve">Horus University Egypt (official)</t>
  </si>
  <si>
    <t xml:space="preserve">https://ai.horus.edu.eg/</t>
  </si>
  <si>
    <t xml:space="preserve">Dedicated faculty subdomain verified.</t>
  </si>
  <si>
    <t xml:space="preserve">E-JUST Artificial Intelligence Program</t>
  </si>
  <si>
    <t xml:space="preserve">Egypt-Japan University of Science and Technology (New Borg El-Arab) AI undergraduate program on intelligent systems, with Japanese-Egyptian co-supervision.</t>
  </si>
  <si>
    <t xml:space="preserve">Academic program profile</t>
  </si>
  <si>
    <t xml:space="preserve">E-JUST (official)</t>
  </si>
  <si>
    <t xml:space="preserve">https://www.ejust.edu.eg/intpcsit</t>
  </si>
  <si>
    <t xml:space="preserve">AI program listed on official E-JUST pages; corroborated by JICA.</t>
  </si>
  <si>
    <t xml:space="preserve">AI Talent Development</t>
  </si>
  <si>
    <t xml:space="preserve">Digital Egypt Builders Initiative (DEBI)</t>
  </si>
  <si>
    <t xml:space="preserve">MCIT flagship scholarship (Sept 2020) granting ~1,000 top graduates annually a state-funded professional master's in AI/data science, cybersecurity, robotics and digital arts.</t>
  </si>
  <si>
    <t xml:space="preserve">2020-09</t>
  </si>
  <si>
    <t xml:space="preserve">MCIT</t>
  </si>
  <si>
    <t xml:space="preserve">https://mcit.gov.eg/en/Human_Capacity/MCIT/Digital_Egypt_Builders_Initiative</t>
  </si>
  <si>
    <t xml:space="preserve">Verified on official MCIT page; Microsoft partnership corroborated.</t>
  </si>
  <si>
    <t xml:space="preserve">Youth AI Skills</t>
  </si>
  <si>
    <t xml:space="preserve">Digital Egypt Cubs Initiative (DECI)</t>
  </si>
  <si>
    <t xml:space="preserve">MCIT program (May 2022, $25M initial budget) training top school students (grades 7-11) in tracks including AI and robotics; MoUs with IBM, Google, Microsoft, Valeo, Huawei.</t>
  </si>
  <si>
    <t xml:space="preserve">2022-05</t>
  </si>
  <si>
    <t xml:space="preserve">https://mcit.gov.eg/en/Human_Capacity/MCIT/Digital_Egypt_Cubs_Initiative</t>
  </si>
  <si>
    <t xml:space="preserve">Verified on MCIT and SIS.gov.eg.</t>
  </si>
  <si>
    <t xml:space="preserve">AI/GenAI Startup Support</t>
  </si>
  <si>
    <t xml:space="preserve">Creativa AI Lab (CREATIVA Innovation Hubs)</t>
  </si>
  <si>
    <t xml:space="preserve">MCIT's CREATIVA network of innovation hubs (19+ governorates) launched the Creativa AI Lab to support innovators and startups in AI and generative AI.</t>
  </si>
  <si>
    <t xml:space="preserve">Government innovation hub</t>
  </si>
  <si>
    <t xml:space="preserve">CREATIVA (MCIT)</t>
  </si>
  <si>
    <t xml:space="preserve">https://creativa.gov.eg/about-creativa/</t>
  </si>
  <si>
    <t xml:space="preserve">[Pending verification] AI Lab launch needs a second source; distinct from Digital Egypt Innovation Centers. Confirmed via Egypt/Morocco landscape research pass: real ITIDA-run innovation hub network.</t>
  </si>
  <si>
    <t xml:space="preserve">AI &amp; Emerging Tech Training</t>
  </si>
  <si>
    <t xml:space="preserve">NTI-Huawei Egyptian Talents Academy (ETA)</t>
  </si>
  <si>
    <t xml:space="preserve">Academy run by the National Telecommunication Institute with Huawei to train ~18,000 young Egyptians over five years in AI, 5G, cloud, big data and security.</t>
  </si>
  <si>
    <t xml:space="preserve">Government-corporate training program</t>
  </si>
  <si>
    <t xml:space="preserve">https://mcit.gov.eg/en/Human_Capacity/NTI/NTI_Huawei_Egyptian_Talents_Academy</t>
  </si>
  <si>
    <t xml:space="preserve">Verified on MCIT and NTI official pages.</t>
  </si>
  <si>
    <t xml:space="preserve">AI Ethics &amp; Governance</t>
  </si>
  <si>
    <t xml:space="preserve">Egyptian Charter for Responsible AI</t>
  </si>
  <si>
    <t xml:space="preserve">National ethics charter (v1.0, 2023) by the National Council for AI setting five principles (human-centered design, transparency, justice, accountability, security) via 13 general and 16 implementation guidelines.</t>
  </si>
  <si>
    <t xml:space="preserve">Egypt AI Portal (ai.gov.eg)</t>
  </si>
  <si>
    <t xml:space="preserve">https://ai.gov.eg/SynchedFiles/en/Resources/Egyptian%20Charter%20For%20Responsible%20AI.pdf</t>
  </si>
  <si>
    <t xml:space="preserve">Official PDF on government AI portal; catalogued by OECD.AI.</t>
  </si>
  <si>
    <t xml:space="preserve">AI in Higher Education Regulation</t>
  </si>
  <si>
    <t xml:space="preserve">SCU Guidelines for AI in Higher Education &amp; Research</t>
  </si>
  <si>
    <t xml:space="preserve">Supreme Council of Universities approved (30 Sept 2025) Egypt's first national regulatory reference for AI use in universities, mandating permanent AI-ethics committees in each university.</t>
  </si>
  <si>
    <t xml:space="preserve">Regulatory guidance</t>
  </si>
  <si>
    <t xml:space="preserve">2025-09-30</t>
  </si>
  <si>
    <t xml:space="preserve">Al-Fanar Media</t>
  </si>
  <si>
    <t xml:space="preserve">https://al-fanarmedia.org/2025/10/egypt-issues-guidelines-on-use-of-ai-in-higher-education-research/</t>
  </si>
  <si>
    <t xml:space="preserve">Verified via Al-Fanar Media; SCU is the issuing body.</t>
  </si>
  <si>
    <t xml:space="preserve">Responsible AI / Regulatory Sandbox</t>
  </si>
  <si>
    <t xml:space="preserve">Egypt-UNDP Responsible AI Governance Agreement</t>
  </si>
  <si>
    <t xml:space="preserve">Agreement with UNDP to promote responsible AI governance and establish a national AI sandbox, supporting the National AI Strategy.</t>
  </si>
  <si>
    <t xml:space="preserve">International cooperation agreement</t>
  </si>
  <si>
    <t xml:space="preserve">Tech Review Africa</t>
  </si>
  <si>
    <t xml:space="preserve">https://techreviewafrica.com/news/6237/egypt-undp-sign-agreement-to-promote-responsible-ai-governance-and-national-ai-sandbox</t>
  </si>
  <si>
    <t xml:space="preserve">[Pending verification] Single news source; signing date unconfirmed.</t>
  </si>
  <si>
    <t xml:space="preserve">AI for FinTech</t>
  </si>
  <si>
    <t xml:space="preserve">AI for FinTech Hackathon (CBE x DEBI)</t>
  </si>
  <si>
    <t xml:space="preserve">Central Bank of Egypt and MCIT launched an AI-for-FinTech hackathon under FinTech Egypt to develop DEBI students' fintech AI skills.</t>
  </si>
  <si>
    <t xml:space="preserve">Government program / competition</t>
  </si>
  <si>
    <t xml:space="preserve">2025-10-13</t>
  </si>
  <si>
    <t xml:space="preserve">Central Bank of Egypt</t>
  </si>
  <si>
    <t xml:space="preserve">https://www.cbe.org.eg/en/news-publications/news/2025/10/13/09/55/digital-egypt-builders-initiative</t>
  </si>
  <si>
    <t xml:space="preserve">Verified on official CBE newsroom.</t>
  </si>
  <si>
    <t xml:space="preserve">AI Skills Partnership</t>
  </si>
  <si>
    <t xml:space="preserve">MCIT-IBM AI Skills Agreement (SkillsBuild)</t>
  </si>
  <si>
    <t xml:space="preserve">Five-year MCIT-IBM agreement (May 2025) to train 100,000 Egyptians in AI by 2030 via IBM SkillsBuild, supporting the National AI Strategy 2025-2030.</t>
  </si>
  <si>
    <t xml:space="preserve">Government-corporate agreement</t>
  </si>
  <si>
    <t xml:space="preserve">2025-05</t>
  </si>
  <si>
    <t xml:space="preserve">IBM MEA Newsroom</t>
  </si>
  <si>
    <t xml:space="preserve">https://mea.newsroom.ibm.com/release-mcit-ibm-collaboration-egypt</t>
  </si>
  <si>
    <t xml:space="preserve">Verified via IBM official regional newsroom.</t>
  </si>
  <si>
    <t xml:space="preserve">AI Skills &amp; Applied AI</t>
  </si>
  <si>
    <t xml:space="preserve">Microsoft Egypt - MCIT AI Collaborations</t>
  </si>
  <si>
    <t xml:space="preserve">Microsoft-MCIT partnership applying AI in agriculture (2019) and within DEBI; later MoU to train 100,000 Egyptian youth and government employees in AI.</t>
  </si>
  <si>
    <t xml:space="preserve">2019-12-05</t>
  </si>
  <si>
    <t xml:space="preserve">Microsoft MEA News Center</t>
  </si>
  <si>
    <t xml:space="preserve">https://news.microsoft.com/en-xm/2019/12/05/mcit-partners-with-microsoft-to-implement-ai-solutions-in-the-agriculture-sector/</t>
  </si>
  <si>
    <t xml:space="preserve">Agriculture AI partnership verified on official Microsoft newsroom.</t>
  </si>
  <si>
    <t xml:space="preserve">AI Regulation Advocacy</t>
  </si>
  <si>
    <t xml:space="preserve">Masaar - Technology and Law Community</t>
  </si>
  <si>
    <t xml:space="preserve">Cairo-based technology-and-law research community that published 'Regulating Artificial Intelligence in Egypt: Proposed Standards and Principles', informing Egypt's AI regulation debate.</t>
  </si>
  <si>
    <t xml:space="preserve">Think tank / policy research</t>
  </si>
  <si>
    <t xml:space="preserve">Masaar (official)</t>
  </si>
  <si>
    <t xml:space="preserve">https://masaar.net/en/regulating-artificial-intelligence-in-egypt-proposed-standards-and-principles/</t>
  </si>
  <si>
    <t xml:space="preserve">Publication verified on Masaar's own site.</t>
  </si>
  <si>
    <t xml:space="preserve">Entrepreneurship Policy Research</t>
  </si>
  <si>
    <t xml:space="preserve">Entlaq</t>
  </si>
  <si>
    <t xml:space="preserve">Cairo think tank and consultancy (founded 2022) producing Egyptian Entrepreneurship Sector Diagnostics Reports with policy recommendations for government, investors and startups.</t>
  </si>
  <si>
    <t xml:space="preserve">Think tank profile</t>
  </si>
  <si>
    <t xml:space="preserve">Entlaq (official)</t>
  </si>
  <si>
    <t xml:space="preserve">https://entlaq.com/about-us.html</t>
  </si>
  <si>
    <t xml:space="preserve">Verified via official site and TIEC/Wamda coverage.</t>
  </si>
  <si>
    <t xml:space="preserve">Automotive AI R&amp;D</t>
  </si>
  <si>
    <t xml:space="preserve">Valeo Egypt - Cairo Tech Hub &amp; AI Development Center</t>
  </si>
  <si>
    <t xml:space="preserve">Valeo Cairo (~2,200 engineers, Smart Village) produces about half of the group's global automotive software; launched a dedicated AI Development Center (April 2026) for smart mobility.</t>
  </si>
  <si>
    <t xml:space="preserve">Corporate R&amp;D center</t>
  </si>
  <si>
    <t xml:space="preserve">Valeo (official)</t>
  </si>
  <si>
    <t xml:space="preserve">https://www.valeo.com/en/valeo-celebrates-20-years-in-egypt-and-launches-ai-development-center-in-cairo/</t>
  </si>
  <si>
    <t xml:space="preserve">Official Valeo press release; corroborated by Daily News Egypt.</t>
  </si>
  <si>
    <t xml:space="preserve">Shared Services AI &amp; Automation</t>
  </si>
  <si>
    <t xml:space="preserve">Vodafone Intelligent Solutions (_VOIS) Egypt</t>
  </si>
  <si>
    <t xml:space="preserve">Vodafone's largest shared-services arm (Cairo &amp; Alexandria, ~8,000+ employees); Egypt designated Vodafone's Center of Excellence for application development, robotics, automation and AI.</t>
  </si>
  <si>
    <t xml:space="preserve">Corporate center profile</t>
  </si>
  <si>
    <t xml:space="preserve">Cognitive Business News</t>
  </si>
  <si>
    <t xml:space="preserve">https://cognitivebusiness.news/vodafone-expands-its-egyptian-center-of-excellence-for-cx-ai-robotics-iot/</t>
  </si>
  <si>
    <t xml:space="preserve">Corroborated across multiple outlets and Vodafone careers pages.</t>
  </si>
  <si>
    <t xml:space="preserve">AI/ML Services &amp; Support</t>
  </si>
  <si>
    <t xml:space="preserve">Dell Technologies Egypt Center of Excellence</t>
  </si>
  <si>
    <t xml:space="preserve">Cairo COE, one of Dell's four global hubs (12 languages), with AI/ML, IoT and cloud teams; partnered with MCIT on 'AI Empower Egypt' (1,620 students trained, 300 AI solutions).</t>
  </si>
  <si>
    <t xml:space="preserve">2024-10</t>
  </si>
  <si>
    <t xml:space="preserve">https://itida.gov.eg/English/PressReleases/Pages/Minister-of-Communications-and-Information-Technology-Explores-Innovation-at-Dell-Technologies-Center-of-Excellence-in-Egyp.aspx</t>
  </si>
  <si>
    <t xml:space="preserve">Official ITIDA press release.</t>
  </si>
  <si>
    <t xml:space="preserve">Emotion AI</t>
  </si>
  <si>
    <t xml:space="preserve">Affectiva Cairo (Smart Eye)</t>
  </si>
  <si>
    <t xml:space="preserve">Emotion-AI pioneer co-founded by Egyptian-American scientist Rana el Kaliouby; Cairo office of ~60 engineers/ML scientists; acquired by Sweden's Smart Eye (2021), which retains the Egypt office.</t>
  </si>
  <si>
    <t xml:space="preserve">Corporate AI office profile</t>
  </si>
  <si>
    <t xml:space="preserve">Wikipedia (Affectiva)</t>
  </si>
  <si>
    <t xml:space="preserve">https://en.wikipedia.org/wiki/Affectiva</t>
  </si>
  <si>
    <t xml:space="preserve">Cairo office &amp; acquisition cross-checked with Smart Eye announcement.</t>
  </si>
  <si>
    <t xml:space="preserve">AI Question Answering / NLP</t>
  </si>
  <si>
    <t xml:space="preserve">Kngine</t>
  </si>
  <si>
    <t xml:space="preserve">Egyptian AI question-answering engine (founded 2009 by Haytham &amp; Ashraf ElFadeel); backed by Sawari Ventures and Samsung NEXT ($775k disclosed); acquired by Samsung (Oct 2017) for Bixby.</t>
  </si>
  <si>
    <t xml:space="preserve">Acquisition news</t>
  </si>
  <si>
    <t xml:space="preserve">2017-10</t>
  </si>
  <si>
    <t xml:space="preserve">$775,000</t>
  </si>
  <si>
    <t xml:space="preserve">https://www.menabytes.com/samsung-kngine/</t>
  </si>
  <si>
    <t xml:space="preserve">One of Egypt's first AI exits; verified via MENAbytes.</t>
  </si>
  <si>
    <t xml:space="preserve">Conversational AI / CX</t>
  </si>
  <si>
    <t xml:space="preserve">Tactful AI</t>
  </si>
  <si>
    <t xml:space="preserve">Egypt-founded unified CX platform (omnichannel contact center, Arabic chatbots, conversational analytics); acquired by Dstny (2022), reacquired by founders (2025); raised $1M pre-Series A (Feb 2026) for agentic CX.</t>
  </si>
  <si>
    <t xml:space="preserve">Funding news</t>
  </si>
  <si>
    <t xml:space="preserve">2026-02-11</t>
  </si>
  <si>
    <t xml:space="preserve">https://disruptafrica.com/2026/02/11/egypts-tactful-ai-raises-1m-pre-series-a-to-build-agentic-customer-experience-infrastructure/</t>
  </si>
  <si>
    <t xml:space="preserve">Acquisition, reacquisition and new round cross-verified.</t>
  </si>
  <si>
    <t xml:space="preserve">GenAI DevTools / Mobile Observability</t>
  </si>
  <si>
    <t xml:space="preserve">Instabug (Luciq)</t>
  </si>
  <si>
    <t xml:space="preserve">Egyptian-founded mobile-app monitoring platform; SmartResolve 2.0 uses generative AI to diagnose crashes and auto-generate fix code; $46M Series B (2022); rebranded Luciq as AI-agent-driven observability company.</t>
  </si>
  <si>
    <t xml:space="preserve">Product / AI launch news</t>
  </si>
  <si>
    <t xml:space="preserve">2024-10-29</t>
  </si>
  <si>
    <t xml:space="preserve">$46,000,000</t>
  </si>
  <si>
    <t xml:space="preserve">Business Wire</t>
  </si>
  <si>
    <t xml:space="preserve">https://www.businesswire.com/news/home/20241029695993/en/Instabug-Launches-SmartResolve-2.0-Pioneering-Mobile-Crash-Resolution-Toward-Zero-Maintenance-Apps</t>
  </si>
  <si>
    <t xml:space="preserve">SmartResolve 2.0 verified; Series B via TechCrunch.</t>
  </si>
  <si>
    <t xml:space="preserve">Automotive ADAS/AV Software</t>
  </si>
  <si>
    <t xml:space="preserve">Avelabs</t>
  </si>
  <si>
    <t xml:space="preserve">Cairo automotive software firm (founded 2012) with one of Egypt's largest tier-2 automotive R&amp;D centers; ADAS/AV software plus Yonohub (AV/robotics dev cloud) and AutoHears (acoustic sensing).</t>
  </si>
  <si>
    <t xml:space="preserve">Avelabs (official)</t>
  </si>
  <si>
    <t xml:space="preserve">https://www.avelabs.com/</t>
  </si>
  <si>
    <t xml:space="preserve">Official site verified; corroborated by Crunchbase.</t>
  </si>
  <si>
    <t xml:space="preserve">AI/ML &amp; Optimization Consulting</t>
  </si>
  <si>
    <t xml:space="preserve">Optomatica</t>
  </si>
  <si>
    <t xml:space="preserve">Cairo deep-tech company (founder Dr. Mohammed El-Beltagy) specializing in AI, ML and optimization for fintech, healthtech, sports tech and conversational AI; PhD-heavy team, 15+ patents.</t>
  </si>
  <si>
    <t xml:space="preserve">Optomatica (official)</t>
  </si>
  <si>
    <t xml:space="preserve">https://optomatica.com/</t>
  </si>
  <si>
    <t xml:space="preserve">Official site verified; corroborated by Crunchbase/CB Insights.</t>
  </si>
  <si>
    <t xml:space="preserve">Autotech / AI Pricing</t>
  </si>
  <si>
    <t xml:space="preserve">Sylndr</t>
  </si>
  <si>
    <t xml:space="preserve">Cairo used-car platform (founded 2021) for buying, selling, financing and servicing cars; $15.7M Series A (May 2025, DPI via Nclude) partly to refine AI-driven pricing; total funding &gt;$30M.</t>
  </si>
  <si>
    <t xml:space="preserve">2025-05-19</t>
  </si>
  <si>
    <t xml:space="preserve">$15,700,000</t>
  </si>
  <si>
    <t xml:space="preserve">https://techcrunch.com/2025/05/19/sylndr-with-fresh-15-7m-allows-users-to-buy-sell-finance-and-service-used-cars-in-egypt/</t>
  </si>
  <si>
    <t xml:space="preserve">Round and AI-pricing plans verified via TechCrunch.</t>
  </si>
  <si>
    <t xml:space="preserve">AI Loyalty / Customer Intelligence</t>
  </si>
  <si>
    <t xml:space="preserve">Gameball</t>
  </si>
  <si>
    <t xml:space="preserve">Cairo-founded loyalty &amp; CRM platform (7,000+ businesses) marketed as AI loyalty (AI agents monitor customer data, recommend campaigns); $3.5M seed (Feb 2023) with 500 Global and P1 Ventures.</t>
  </si>
  <si>
    <t xml:space="preserve">2023-02-08</t>
  </si>
  <si>
    <t xml:space="preserve">Enterprise (EnterpriseAM)</t>
  </si>
  <si>
    <t xml:space="preserve">https://enterpriseam.com/egypt/2023/02/08/homegrown-adtech-startup-gameball-bags-usd-3-5-mn-seed-round/</t>
  </si>
  <si>
    <t xml:space="preserve">Funding verified; AI positioning on Shopify listing.</t>
  </si>
  <si>
    <t xml:space="preserve">AI Supply Chain (Food)</t>
  </si>
  <si>
    <t xml:space="preserve">OneOrder</t>
  </si>
  <si>
    <t xml:space="preserve">Cairo restaurant-supply platform building an AI/ML-driven operating system for restaurant supply chains; raised $16M (equity+debt) Series A (2024) to expand to GCC.</t>
  </si>
  <si>
    <t xml:space="preserve">$16,000,000</t>
  </si>
  <si>
    <t xml:space="preserve">Techpoint Africa</t>
  </si>
  <si>
    <t xml:space="preserve">https://techpoint.africa/news/egypts-oneorder-secures-series-a/</t>
  </si>
  <si>
    <t xml:space="preserve">Series A verified; AI/ML OS statement from TechCrunch.</t>
  </si>
  <si>
    <t xml:space="preserve">Clinical AI / Medical NLP</t>
  </si>
  <si>
    <t xml:space="preserve">Mendel AI</t>
  </si>
  <si>
    <t xml:space="preserve">Clinical-AI company founded by Egyptian physician Karim Galil (San Jose + Cairo offices) structuring unstructured medical records; $18M Series A (June 2021, led by DCM); hires ML talent in Cairo.</t>
  </si>
  <si>
    <t xml:space="preserve">2021-06-07</t>
  </si>
  <si>
    <t xml:space="preserve">$18,000,000</t>
  </si>
  <si>
    <t xml:space="preserve">https://techcrunch.com/2021/06/07/mendel-raises-18m-to-tease-out-data-structure-from-medicines-disparate-document-trove/</t>
  </si>
  <si>
    <t xml:space="preserve">Cairo office and Egyptian founder verified.</t>
  </si>
  <si>
    <t xml:space="preserve">AI-Powered Consumer Lending</t>
  </si>
  <si>
    <t xml:space="preserve">Blnk</t>
  </si>
  <si>
    <t xml:space="preserve">Cairo fintech (founded 2021) whose AI underwriting approves point-of-sale consumer credit in minutes across 3,000+ merchants; raised $37.1M (June 2026: $12.5M Series A led by Algebra + $24.6M debt).</t>
  </si>
  <si>
    <t xml:space="preserve">$37,100,000</t>
  </si>
  <si>
    <t xml:space="preserve">https://www.wamda.com/2026/06/blnk-secures-37-million-deepen-financial-inclusion-egypt</t>
  </si>
  <si>
    <t xml:space="preserve">AI underwriting described across Wamda, Disrupt Africa coverage.</t>
  </si>
  <si>
    <t xml:space="preserve">State-Backed Venture Capital</t>
  </si>
  <si>
    <t xml:space="preserve">Egypt Ventures</t>
  </si>
  <si>
    <t xml:space="preserve">State-seeded investment firm (est. 2017 by Ministry of Investment) investing in accelerators, VCs and startups; portfolio includes MNT-Halan and AI-enabled startups like Educatly.</t>
  </si>
  <si>
    <t xml:space="preserve">Egypt Ventures (official)</t>
  </si>
  <si>
    <t xml:space="preserve">https://egyptventures.com/</t>
  </si>
  <si>
    <t xml:space="preserve">Verified via official site; state backing confirmed.</t>
  </si>
  <si>
    <t xml:space="preserve">Fintech Accelerator &amp; VC</t>
  </si>
  <si>
    <t xml:space="preserve">EFG EV Fintech</t>
  </si>
  <si>
    <t xml:space="preserve">JV (2017) between EFG Hermes' EFG Finance and Egypt Ventures; accelerator (up to EGP 1M with Falak) and VC arm (up to EGP 5M); Egypt's largest fintech portfolio incl. insurtech and regtech.</t>
  </si>
  <si>
    <t xml:space="preserve">EFG EV Fintech (official)</t>
  </si>
  <si>
    <t xml:space="preserve">https://www.efgev.com/about/</t>
  </si>
  <si>
    <t xml:space="preserve">Official site verified; JV corroborated by EFG Hermes report.</t>
  </si>
  <si>
    <t xml:space="preserve">Early-Stage VC / Accelerator</t>
  </si>
  <si>
    <t xml:space="preserve">Openner</t>
  </si>
  <si>
    <t xml:space="preserve">US-based VC running an Egypt accelerator to invest in 50 Egyptian pre-seed/seed startups (checks up to $500k); portfolio spans Egypt, US and Africa.</t>
  </si>
  <si>
    <t xml:space="preserve">https://www.egypttoday.com/Article/3/91981/US-based-VC-Openner-to-launch-accelerator-invest-in-50</t>
  </si>
  <si>
    <t xml:space="preserve">Egypt program verified; generalist (not AI-specific) fund.</t>
  </si>
  <si>
    <t xml:space="preserve">Innovation Platform / Accelerator</t>
  </si>
  <si>
    <t xml:space="preserve">Plug and Play Egypt</t>
  </si>
  <si>
    <t xml:space="preserve">Plug and Play's Egypt innovation platform with ITIDA (Nov 2021, 3-year agreement): 60 growth-stage accelerations + 60 incubations; Aswan Bootcamps supported 61 Upper-Egypt startups ($3.7M secured by 2026).</t>
  </si>
  <si>
    <t xml:space="preserve">Innovation program</t>
  </si>
  <si>
    <t xml:space="preserve">2021-11</t>
  </si>
  <si>
    <t xml:space="preserve">PR Newswire</t>
  </si>
  <si>
    <t xml:space="preserve">https://www.prnewswire.com/news-releases/information-technology-industry-development-agency-itida-joins-forces-with-plug-and-play-to-launch-an-innovation-hub-in-egypt-301388221.html</t>
  </si>
  <si>
    <t xml:space="preserve">Launch release verified; outcomes corroborated by Ahram/Wamda.</t>
  </si>
  <si>
    <t xml:space="preserve">Fintech Accelerator</t>
  </si>
  <si>
    <t xml:space="preserve">Startupbootcamp FinTech Cairo</t>
  </si>
  <si>
    <t xml:space="preserve">Cairo fintech accelerator run by Startupbootcamp with Pride Capital; first cohort of 10 startups (Demo Day May 2019), backed by Visa, IFC and GIZ.</t>
  </si>
  <si>
    <t xml:space="preserve">2019-05</t>
  </si>
  <si>
    <t xml:space="preserve">Fintech News Middle East</t>
  </si>
  <si>
    <t xml:space="preserve">https://fintechnews.ae/4355/fintechegypt/sbc-pride-fintech-cairo-startupbootcamp/</t>
  </si>
  <si>
    <t xml:space="preserve">Cohort and partners verified via Fintechnews and Ventureburn.</t>
  </si>
  <si>
    <t xml:space="preserve">Social Innovation Incubator</t>
  </si>
  <si>
    <t xml:space="preserve">GESR (Misr El Kheir Foundation)</t>
  </si>
  <si>
    <t xml:space="preserve">Misr El Kheir's incubator and innovation lab for tech and social startups (water, energy, food, health, education): 6-9 month incubation, seed funding, prototyping labs; partners incl. Vodafone, IBM, UNDP.</t>
  </si>
  <si>
    <t xml:space="preserve">GESR (official)</t>
  </si>
  <si>
    <t xml:space="preserve">https://gesr.net/</t>
  </si>
  <si>
    <t xml:space="preserve">Official site verified; corroborated by Wamda and MENAbytes.</t>
  </si>
  <si>
    <t xml:space="preserve">AI Industry Summit</t>
  </si>
  <si>
    <t xml:space="preserve">RiseUp AI Summit</t>
  </si>
  <si>
    <t xml:space="preserve">RiseUp (organizer of MENA's flagship Cairo entrepreneurship summit) held Egypt's first dedicated AI industry summit (Feb 4-6, 2025, Cairo Business Park): 2,000+ participants, 50 exhibitors, Google/Microsoft/Orange presence.</t>
  </si>
  <si>
    <t xml:space="preserve">Daily News Egypt</t>
  </si>
  <si>
    <t xml:space="preserve">https://www.dailynewsegypt.com/2025/02/06/riseup-ai-summit-concludes-announces-egypts-first-proptech-innovation-hub/</t>
  </si>
  <si>
    <t xml:space="preserve">First-edition AI summit verified via Daily News Egypt.</t>
  </si>
  <si>
    <t xml:space="preserve">Tech &amp; Investment Event</t>
  </si>
  <si>
    <t xml:space="preserve">Techne Summit Alexandria</t>
  </si>
  <si>
    <t xml:space="preserve">Alexandria-born international technology and investment summit (since 2015), flagship of Egypt Innovation Week with 45,000+ attendees, startup showcases and investor programs.</t>
  </si>
  <si>
    <t xml:space="preserve">Techne Summit (official)</t>
  </si>
  <si>
    <t xml:space="preserve">https://alex.technesummit.com/2025</t>
  </si>
  <si>
    <t xml:space="preserve">Official event site verified; scale corroborated by VC4A.</t>
  </si>
  <si>
    <t xml:space="preserve">National ICT/AI Exhibition</t>
  </si>
  <si>
    <t xml:space="preserve">Cairo ICT (AI Everywhere / AIDC / PAFIX)</t>
  </si>
  <si>
    <t xml:space="preserve">Egypt's national technology exhibition; 29th edition (Nov 16-19, 2025) themed 'AI Everywhere' with a record 161,000 visitors, hosting the AI &amp; Cloud Computing Conference (AIDC) and CBE-sponsored PAFIX.</t>
  </si>
  <si>
    <t xml:space="preserve">2025-11-16</t>
  </si>
  <si>
    <t xml:space="preserve">Egypt State Information Service</t>
  </si>
  <si>
    <t xml:space="preserve">https://sis.gov.eg/en/media-center/events/the-29th-edition-of-the-cairo-ict-exhibition-and-conference/</t>
  </si>
  <si>
    <t xml:space="preserve">Verified via SIS.gov.eg and cairoict.com.</t>
  </si>
  <si>
    <t xml:space="preserve">Applied R&amp;D (AI &amp; Embedded)</t>
  </si>
  <si>
    <t xml:space="preserve">MAScIR Foundation</t>
  </si>
  <si>
    <t xml:space="preserve">Moroccan Foundation for Advanced Science, Innovation and Research (est. 2007, Rabat; now in UM6P ecosystem); 100+ scientists; platforms in microelectronics, embedded systems and AI-assisted sensing.</t>
  </si>
  <si>
    <t xml:space="preserve">UM6P - MAScIR page</t>
  </si>
  <si>
    <t xml:space="preserve">https://www.um6p.ma/en/mascir-moroccan-foundation-advanced-science-innovation-and-research</t>
  </si>
  <si>
    <t xml:space="preserve">Cross-checked with Nature Index and WIPO TISC listings.</t>
  </si>
  <si>
    <t xml:space="preserve">Public Research Funding</t>
  </si>
  <si>
    <t xml:space="preserve">CNRST</t>
  </si>
  <si>
    <t xml:space="preserve">National scientific research center that administered Morocco's national AI applied-research call: 251 submissions evaluated, 45 AI projects selected (health, agriculture, industry, Big Data) under the MAD 50M Al-Khawarizmi envelope.</t>
  </si>
  <si>
    <t xml:space="preserve">Program administration</t>
  </si>
  <si>
    <t xml:space="preserve">CNRST (official)</t>
  </si>
  <si>
    <t xml:space="preserve">https://www.cnrst.ma/fr/component/k2/item/446-programme-al-khawarizmi-resultats-de-l-appel-a-projets-dans-le-domaine-de-l-intelligence-artificielle-et-ses-applications</t>
  </si>
  <si>
    <t xml:space="preserve">Documents the administering body; distinct from the AL-KHAWARIZMI program row.</t>
  </si>
  <si>
    <t xml:space="preserve">Sovereign Cloud &amp; Data Centers</t>
  </si>
  <si>
    <t xml:space="preserve">Atlas Cloud Services (AtlasX.AI)</t>
  </si>
  <si>
    <t xml:space="preserve">OCP/UM6P joint venture operating the Tier III/IV Benguerir Data Center (2,000 sqm, 5 MW); launched AtlasX.AI (Data Fabric + GPU-as-a-Service) and a 2025 AI partnership with IBM and Power Maroc.</t>
  </si>
  <si>
    <t xml:space="preserve">Infrastructure &amp; product launch</t>
  </si>
  <si>
    <t xml:space="preserve">Atlas Cloud Services (official)</t>
  </si>
  <si>
    <t xml:space="preserve">https://atlascloudservices.com/en/atlasx-ai/</t>
  </si>
  <si>
    <t xml:space="preserve">Partnership cross-checked via Maroc Hebdo; distinct from UM6P supercomputer row.</t>
  </si>
  <si>
    <t xml:space="preserve">Carrier-Neutral Data Centers / AI Hosting</t>
  </si>
  <si>
    <t xml:space="preserve">N+ONE Datacenters</t>
  </si>
  <si>
    <t xml:space="preserve">Leading carrier-neutral Moroccan datacenter operator (est. 2008; six buildings, 4.5 MW IT in Nouaceur/Settat) offering HPC and AI/ML hosting; hosting partner for Oracle's first Morocco cloud region.</t>
  </si>
  <si>
    <t xml:space="preserve">N+ONE Datacenters (official)</t>
  </si>
  <si>
    <t xml:space="preserve">https://nplusone.africa/</t>
  </si>
  <si>
    <t xml:space="preserve">Oracle hosting role cross-checked via Data Center Dynamics.</t>
  </si>
  <si>
    <t xml:space="preserve">Hyperscale Cloud &amp; AI Infrastructure</t>
  </si>
  <si>
    <t xml:space="preserve">Oracle Cloud Casablanca Region</t>
  </si>
  <si>
    <t xml:space="preserve">First hyperscaler public-cloud region in Morocco (April 2026, hosted with N+ONE), giving local enterprises and public bodies in-country access to Oracle's generative-AI and multicloud capabilities.</t>
  </si>
  <si>
    <t xml:space="preserve">Infrastructure launch</t>
  </si>
  <si>
    <t xml:space="preserve">https://www.datacenterdynamics.com/en/news/oracle-launches-cloud-region-in-casablanca-morocco/</t>
  </si>
  <si>
    <t xml:space="preserve">Cross-checked with Morocco World News and TechAfrica News.</t>
  </si>
  <si>
    <t xml:space="preserve">Corporate AI R&amp;D</t>
  </si>
  <si>
    <t xml:space="preserve">Oracle Morocco R&amp;D Hubs (Casablanca &amp; Agadir)</t>
  </si>
  <si>
    <t xml:space="preserve">Oracle R&amp;D center at CasaNearshore (2025; OCI and AI/ML projects; ~1,000 jobs targeted by 2027) plus a second R&amp;D hub announced in Agadir (June 2026) to power the future of AI.</t>
  </si>
  <si>
    <t xml:space="preserve">Corporate expansion</t>
  </si>
  <si>
    <t xml:space="preserve">Oracle (official)</t>
  </si>
  <si>
    <t xml:space="preserve">https://www.oracle.com/sa/news/announcement/oracle-establishes-second-morocco-rd-hub-to-power-the-future-of-ai-2026-06-30/</t>
  </si>
  <si>
    <t xml:space="preserve">Official Oracle release; corroborated by Intelligent CIO Africa.</t>
  </si>
  <si>
    <t xml:space="preserve">Venture Building</t>
  </si>
  <si>
    <t xml:space="preserve">InnovX</t>
  </si>
  <si>
    <t xml:space="preserve">UM6P subsidiary combining venture capital, tech innovation and business development to build and scale technology businesses across Agriculture &amp; Water, Energy, Chemicals and Digital in Morocco/Africa.</t>
  </si>
  <si>
    <t xml:space="preserve">InnovX (official)</t>
  </si>
  <si>
    <t xml:space="preserve">https://innovx.com/about-us/</t>
  </si>
  <si>
    <t xml:space="preserve">Confirmed as UM6P subsidiary; distinct from UM6P Ventures.</t>
  </si>
  <si>
    <t xml:space="preserve">IT Services / Cognitive Tech</t>
  </si>
  <si>
    <t xml:space="preserve">Teal Technology Services</t>
  </si>
  <si>
    <t xml:space="preserve">OCP Group-IBM joint venture (IBM 51%/OCP 49%, MAD 15M capital, 2016) deploying analytics, cognitive/AI and IoT technologies for digital transformation of Moroccan and African companies.</t>
  </si>
  <si>
    <t xml:space="preserve">Joint venture launch</t>
  </si>
  <si>
    <t xml:space="preserve">2016-11</t>
  </si>
  <si>
    <t xml:space="preserve">OCP Group (official)</t>
  </si>
  <si>
    <t xml:space="preserve">https://www.ocpgroup.ma/en/ocp-group-and-ibm-form-joint-venture-accelerate-digital-transformation-moroccan-and-african</t>
  </si>
  <si>
    <t xml:space="preserve">Cross-checked with Ministry of Industry.</t>
  </si>
  <si>
    <t xml:space="preserve">AI Engineering Education</t>
  </si>
  <si>
    <t xml:space="preserve">ENSIAS - Ingenierie Intelligence Artificielle (2IA)</t>
  </si>
  <si>
    <t xml:space="preserve">Dedicated AI engineering track at ENSIAS (Mohammed V University Rabat), Morocco's leading public computer-science engineering school; selective AI/data-science curriculum.</t>
  </si>
  <si>
    <t xml:space="preserve">ENSIAS (official)</t>
  </si>
  <si>
    <t xml:space="preserve">https://ensias.um5.ac.ma/page/ing%C3%A9nierie-int%C3%A9lligence-artificielle-2ia</t>
  </si>
  <si>
    <t xml:space="preserve">Official program page; distinct from Franco-Moroccan AI Center row.</t>
  </si>
  <si>
    <t xml:space="preserve">AI/Data Graduate Education</t>
  </si>
  <si>
    <t xml:space="preserve">INPT - Master Data &amp; IA (with Al Mada Foundation)</t>
  </si>
  <si>
    <t xml:space="preserve">INPT Rabat and Fondation Al Mada launched a Master's in Data &amp; AI unique in Morocco (paid work-study, Data Science &amp; AI specialization); INPT also trains state engineers in Smart ICT and AI.</t>
  </si>
  <si>
    <t xml:space="preserve">Maroc.ma (official portal)</t>
  </si>
  <si>
    <t xml:space="preserve">https://www.maroc.ma/fr/actualites/la-fondation-al-mada-et-linpt-lancent-rabat-un-master-data-ia-unique-au-maroc</t>
  </si>
  <si>
    <t xml:space="preserve">Cross-checked with INPT program pages.</t>
  </si>
  <si>
    <t xml:space="preserve">AI &amp; Data Science Research Lab</t>
  </si>
  <si>
    <t xml:space="preserve">TICLab - Universite Internationale de Rabat (UIR)</t>
  </si>
  <si>
    <t xml:space="preserve">UIR's ICT research lab with recognized AI/data-science expertise (health, transport, energy, cybersecurity, smart cities); coordinates the DataNet associated lab with France's CNRS; directed by Prof. Mounir Ghogho.</t>
  </si>
  <si>
    <t xml:space="preserve">UIR - TICLab (official)</t>
  </si>
  <si>
    <t xml:space="preserve">https://www.uir.ac.ma/fr/pole/tic-lab-technologies-de-linformation-et-de-la-communication/Mot-du-directeur</t>
  </si>
  <si>
    <t xml:space="preserve">Cross-checked via ActuIA profile of UIR.</t>
  </si>
  <si>
    <t xml:space="preserve">Data Protection &amp; AI Governance</t>
  </si>
  <si>
    <t xml:space="preserve">CNDP - AI &amp; Personal Data Framework</t>
  </si>
  <si>
    <t xml:space="preserve">Morocco's data-protection authority published an official position on AI and personal data (March 2025): AI systems using personal data must comply with Law 09-08 (transparency, purpose, proportionality, contestable automated decisions).</t>
  </si>
  <si>
    <t xml:space="preserve">CNDP (official)</t>
  </si>
  <si>
    <t xml:space="preserve">https://www.cndp.ma/wp-content/uploads/2025/03/CNDP-Communique-IA-et-protection-des-donnees-a-caractere-personnel-FR.pdf</t>
  </si>
  <si>
    <t xml:space="preserve">Official communique PDF; cross-checked with LesEco.ma.</t>
  </si>
  <si>
    <t xml:space="preserve">Cybersecurity &amp; AI Risk Oversight</t>
  </si>
  <si>
    <t xml:space="preserve">DGSSI - National Cybersecurity Strategy 2030</t>
  </si>
  <si>
    <t xml:space="preserve">National cybersecurity authority behind the SNC 2030 and DNSSI directive; advises government on risks of emerging technologies including AI and 5G; operates maCERT.</t>
  </si>
  <si>
    <t xml:space="preserve">Strategy publication</t>
  </si>
  <si>
    <t xml:space="preserve">DGSSI (official)</t>
  </si>
  <si>
    <t xml:space="preserve">https://www.dgssi.gov.ma/fr/publications/strategie-nationale-en-matiere-de-cybersecurite</t>
  </si>
  <si>
    <t xml:space="preserve">AI advisory role cross-checked via Policy Center coverage.</t>
  </si>
  <si>
    <t xml:space="preserve">IT Services &amp; AI Delivery</t>
  </si>
  <si>
    <t xml:space="preserve">Capgemini Morocco (AI MoU)</t>
  </si>
  <si>
    <t xml:space="preserve">5,200+ employees in Casablanca/Rabat delivering cloud, data &amp; AI and engineering services; signed an MoU with Morocco's Ministry of Digital Transition on AI development.</t>
  </si>
  <si>
    <t xml:space="preserve">Government partnership</t>
  </si>
  <si>
    <t xml:space="preserve">The North Africa Post</t>
  </si>
  <si>
    <t xml:space="preserve">https://northafricapost.com/98887-moroccos-digital-transition-ministry-and-capgemini-sign-ai-development-memorandum.html</t>
  </si>
  <si>
    <t xml:space="preserve">Headcount and data/AI services confirmed on capgemini.com.</t>
  </si>
  <si>
    <t xml:space="preserve">Generative AI for CX</t>
  </si>
  <si>
    <t xml:space="preserve">Intelcia - U&amp;AI Platform</t>
  </si>
  <si>
    <t xml:space="preserve">Casablanca-headquartered global outsourcer (35,000+ employees) launched U&amp;AI, a generative-AI platform (E-voluciona division) deploying chatbots, voicebots and hybrid human-AI outsourcing models.</t>
  </si>
  <si>
    <t xml:space="preserve">Product launch</t>
  </si>
  <si>
    <t xml:space="preserve">Aujourd'hui le Maroc</t>
  </si>
  <si>
    <t xml:space="preserve">https://aujourdhui.ma/emploi/intelligence-artificielle-generative-intelcia-lance-sa-plateforme-uai</t>
  </si>
  <si>
    <t xml:space="preserve">Cross-checked via Medias24 testimonial article.</t>
  </si>
  <si>
    <t xml:space="preserve">Digital Services &amp; AI Upskilling</t>
  </si>
  <si>
    <t xml:space="preserve">SQLI Maroc - Atlas Learning Hub</t>
  </si>
  <si>
    <t xml:space="preserve">SQLI's Moroccan expertise center (900+ staff in Rabat, Casablanca, Oujda) working on data, AI and digital commerce; inaugurated the Atlas Learning Hub dedicated to AI skills.</t>
  </si>
  <si>
    <t xml:space="preserve">Corporate initiative</t>
  </si>
  <si>
    <t xml:space="preserve">Eurotribune</t>
  </si>
  <si>
    <t xml:space="preserve">https://www.eurotribune.fr/articles/56991/france-sqli-maroc-celebre-les-20-ans-de-son-site-d-oujda-et-ouvre-un-nouveau-chapitre-avec-l-ia</t>
  </si>
  <si>
    <t xml:space="preserve">[Pending verification] Single detailed source for the hub.</t>
  </si>
  <si>
    <t xml:space="preserve">Cybersecurity &amp; AI Training</t>
  </si>
  <si>
    <t xml:space="preserve">Deloitte Morocco Cyber Center &amp; CyberAcademy</t>
  </si>
  <si>
    <t xml:space="preserve">Deloitte's 2,000 sqm cyber center at Casablanca Finance City (2023) plus CyberAcademy (Sept 2025) with 60+ certification modules covering cybersecurity, data protection and AI applied to security.</t>
  </si>
  <si>
    <t xml:space="preserve">Center launch</t>
  </si>
  <si>
    <t xml:space="preserve">Medias24</t>
  </si>
  <si>
    <t xml:space="preserve">https://medias24.com/2025/09/22/deloitte-inaugure-a-casablanca-sa-cyberacademy-dediee-aux-metiers-de-la-cybersecurite/</t>
  </si>
  <si>
    <t xml:space="preserve">Cross-checked with We Are Tech Africa.</t>
  </si>
  <si>
    <t xml:space="preserve">AI Crop Disease Detection</t>
  </si>
  <si>
    <t xml:space="preserve">DeepLeaf</t>
  </si>
  <si>
    <t xml:space="preserve">Founded 2023 by El Mahdi Aboulmanadel; ML models detect 1,000+ plant diseases/pests across 80 crops from leaf photos (Morshida app, CropScan, drone/API tools); won Orange POESAM Morocco 2025 first prize; IRCAI Top100.</t>
  </si>
  <si>
    <t xml:space="preserve">Startup profile &amp; award</t>
  </si>
  <si>
    <t xml:space="preserve">https://www.wearetech.africa/en/fils-uk/tech-stars/aboulmanadel-el-mahdi-uses-ai-to-improve-crop-surveillance</t>
  </si>
  <si>
    <t xml:space="preserve">Cross-checked with CNN feature and IRCAI Top100.</t>
  </si>
  <si>
    <t xml:space="preserve">Agri Supply Chain / ML Forecasting</t>
  </si>
  <si>
    <t xml:space="preserve">YoLa Fresh</t>
  </si>
  <si>
    <t xml:space="preserve">Casablanca agritech (founded 2023) connecting smallholder farmers to retailers; $7M pre-Series A (May 2024, led by Al Mada Ventures); applying machine learning for demand forecasting.</t>
  </si>
  <si>
    <t xml:space="preserve">2024-05</t>
  </si>
  <si>
    <t xml:space="preserve">https://techcrunch.com/2024/05/30/yola-fresh-a-grubmarket-for-morocco-digs-up-7m-to-connect-farmers-with-food-sellers/</t>
  </si>
  <si>
    <t xml:space="preserve">[Pending verification] AI centrality partial (ML forecasting cited by AgFunder).</t>
  </si>
  <si>
    <t xml:space="preserve">Darija/Tamazight LLM &amp; NLP</t>
  </si>
  <si>
    <t xml:space="preserve">Sawalni (Omneity Labs)</t>
  </si>
  <si>
    <t xml:space="preserve">First LLM and conversational AI built for Moroccan Darija (Arabic + Latin scripts), Hassaniya, Tachelhit, Tarifit and Tamazight (Tifinagh); built by Omar Kamali (2023); open Darija datasets on Hugging Face.</t>
  </si>
  <si>
    <t xml:space="preserve">Product profile</t>
  </si>
  <si>
    <t xml:space="preserve">Sawalni (official)</t>
  </si>
  <si>
    <t xml:space="preserve">https://sawalni.com/</t>
  </si>
  <si>
    <t xml:space="preserve">Cross-checked with Featherless.ai interview and Hugging Face datasets.</t>
  </si>
  <si>
    <t xml:space="preserve">Legal AI (Legaltech)</t>
  </si>
  <si>
    <t xml:space="preserve">Juridia</t>
  </si>
  <si>
    <t xml:space="preserve">Rabat legaltech (founded 2023 by Omar El Adlouni); first 100% Moroccan legal AI trained on the Moroccan legal corpus to centralize and simplify access to regulations and jurisprudence.</t>
  </si>
  <si>
    <t xml:space="preserve">Startup profile</t>
  </si>
  <si>
    <t xml:space="preserve">https://medias24.com/2025/02/17/juridia-lia-marocaine-au-service-de-laccessibilite-au-droit/</t>
  </si>
  <si>
    <t xml:space="preserve">Cross-checked with We Are Tech; featured in inwi innov Connect.</t>
  </si>
  <si>
    <t xml:space="preserve">Legal/Tax Research AI</t>
  </si>
  <si>
    <t xml:space="preserve">Artemis - IArtemis</t>
  </si>
  <si>
    <t xml:space="preserve">Moroccan legal-information leader (est. 1992) launched IArtemis, an AI engine over 11M+ legislative, jurisprudence and doctrine documents (Official Bulletin since 1912) delivering sourced legal/tax answers.</t>
  </si>
  <si>
    <t xml:space="preserve">Infomediaire</t>
  </si>
  <si>
    <t xml:space="preserve">https://www.infomediaire.net/artemis-intelligence-artificielle-recherche-juridique-maroc/</t>
  </si>
  <si>
    <t xml:space="preserve">AI product launch verified via two Infomediaire articles.</t>
  </si>
  <si>
    <t xml:space="preserve">AI Training &amp; Consulting</t>
  </si>
  <si>
    <t xml:space="preserve">AI Crafters</t>
  </si>
  <si>
    <t xml:space="preserve">Moroccan AI training/consulting firm (3,000+ people trained in year one; GCC/Africa/Europe operations); acquired majority stake in Digitancy (2026) to build an integrated AI value-chain group.</t>
  </si>
  <si>
    <t xml:space="preserve">Acquisition &amp; profile</t>
  </si>
  <si>
    <t xml:space="preserve">Le Desk</t>
  </si>
  <si>
    <t xml:space="preserve">https://ledesk.ma/2026/04/07/ai-crafters-acquiert-digitancy-et-pose-les-fondations-dun-champion-integre-de-lintelligence-artificielle/</t>
  </si>
  <si>
    <t xml:space="preserve">Cross-checked with Challenge.ma and aicrafters.com.</t>
  </si>
  <si>
    <t xml:space="preserve">Grassroots AI Community</t>
  </si>
  <si>
    <t xml:space="preserve">AI4Morocco</t>
  </si>
  <si>
    <t xml:space="preserve">Citizen-led movement building Morocco's AI ecosystem through curated educational resources and hands-on workshops for students, educators and professionals.</t>
  </si>
  <si>
    <t xml:space="preserve">AI4Morocco (official)</t>
  </si>
  <si>
    <t xml:space="preserve">https://www.ai4morocco.org/en</t>
  </si>
  <si>
    <t xml:space="preserve">[Pending verification] Self-published source only; distinct from MoroccoAI/AtlasIA.</t>
  </si>
  <si>
    <t xml:space="preserve">Data Science Community</t>
  </si>
  <si>
    <t xml:space="preserve">Moroccan Data Scientists (MDS)</t>
  </si>
  <si>
    <t xml:space="preserve">Community-driven initiative promoting data science/AI in Morocco: #DataStart program, seminars, open-source projects on GitHub and Hugging Face.</t>
  </si>
  <si>
    <t xml:space="preserve">Moroccan Data Scientists (official)</t>
  </si>
  <si>
    <t xml:space="preserve">https://moroccands.com/</t>
  </si>
  <si>
    <t xml:space="preserve">Activity cross-checked on GitHub org and Hugging Face.</t>
  </si>
  <si>
    <t xml:space="preserve">Digital Skills &amp; Acceleration</t>
  </si>
  <si>
    <t xml:space="preserve">Orange Digital Center Maroc</t>
  </si>
  <si>
    <t xml:space="preserve">Orange Maroc + GIZ ecosystem in Rabat (10th ODC in Africa/ME): free coding school, solidarity FabLab, Orange Fab accelerator and Orange Ventures link; AI/cybersecurity certifications with Coursera; ODC Clubs in universities.</t>
  </si>
  <si>
    <t xml:space="preserve">Orange Africa newsroom</t>
  </si>
  <si>
    <t xml:space="preserve">https://orange.africa-newsroom.com/press/orange-inaugurate-in-morocco-the-10th-orange-digital-center-in-africa-and-the-middle-east-to-train-young-people-in-digital-technology-support-innovative-entrepreneurship-and-enhance-their-employability?lang=en</t>
  </si>
  <si>
    <t xml:space="preserve">Cross-checked with Mobile World Live.</t>
  </si>
  <si>
    <t xml:space="preserve">Telecom Open Innovation &amp; AI Events</t>
  </si>
  <si>
    <t xml:space="preserve">inwi innov (inwiDAYS &amp; innov Connect)</t>
  </si>
  <si>
    <t xml:space="preserve">inwi's open-innovation program: accelerator, innov Connect workshops pairing AI startups (Juridia, Seiki, REBORN, Bluedove) with business units, inwiDAYS 2026 themed on AI, and a national Deepfake Challenge.</t>
  </si>
  <si>
    <t xml:space="preserve">inwi innov (official)</t>
  </si>
  <si>
    <t xml:space="preserve">https://innov.inwi.ma/</t>
  </si>
  <si>
    <t xml:space="preserve">Cross-checked with Challenge.ma coverage.</t>
  </si>
  <si>
    <t xml:space="preserve">Regulatory Sandbox</t>
  </si>
  <si>
    <t xml:space="preserve">Bank Al-Maghrib Fintech Pathway &amp; Regulatory Sandbox</t>
  </si>
  <si>
    <t xml:space="preserve">Central bank fintech onboarding pathway and regulatory sandbox (active since 2019) where startups tested biometric identification and predictive analytics; official Guide du parcours Fintech published.</t>
  </si>
  <si>
    <t xml:space="preserve">Bank Al-Maghrib Fintech guide (PDF via CGEM)</t>
  </si>
  <si>
    <t xml:space="preserve">https://cgem.ma/wp-content/uploads/2024/05/Guide-du-parcours-des-Fintech-BAM.pdf</t>
  </si>
  <si>
    <t xml:space="preserve">Sandbox-since-2019 cross-checked via Telquel and WeeTracker.</t>
  </si>
  <si>
    <t xml:space="preserve">Fintech One-Stop-Shop &amp; Incubation</t>
  </si>
  <si>
    <t xml:space="preserve">Morocco Fintech Center (MFC)</t>
  </si>
  <si>
    <t xml:space="preserve">Association founded at Bank Al-Maghrib HQ (Jan 2025) with ~15 banks/financial institutions and the Digital Transition Ministry; one-stop shop for fintechs; Fintech Booster 2026 selected 21 startups from 117 applications.</t>
  </si>
  <si>
    <t xml:space="preserve">Bank Al-Maghrib (official)</t>
  </si>
  <si>
    <t xml:space="preserve">https://www.bkam.ma/en/Press-releases/Press-releases/2024/Establishment-of-the-morocco-fintech-center-association</t>
  </si>
  <si>
    <t xml:space="preserve">Cross-checked with Medias24 (launch and Booster cohort).</t>
  </si>
  <si>
    <t xml:space="preserve">Fonds Innov Invest (Tamwilcom)</t>
  </si>
  <si>
    <t xml:space="preserve">Morocco's central public startup-financing instrument (since 2016, World Bank-supported), managed by Tamwilcom: pre-seed grants, TECH START/TECH BOOST, equity via VC funds; ~470-700 startups backed; feeds a MAD 2.5bn fund-of-funds initiative.</t>
  </si>
  <si>
    <t xml:space="preserve">Fund profile</t>
  </si>
  <si>
    <t xml:space="preserve">Fonds Innov Invest (official)</t>
  </si>
  <si>
    <t xml:space="preserve">https://www.innovinvest.ma/</t>
  </si>
  <si>
    <t xml:space="preserve">Cross-checked with Telquel; distinct from Flat6Labs Morocco row.</t>
  </si>
  <si>
    <t xml:space="preserve">AI Industry Conference</t>
  </si>
  <si>
    <t xml:space="preserve">GenAI Summit Maroc</t>
  </si>
  <si>
    <t xml:space="preserve">Annual generative-AI summit in Casablanca (2nd edition Dec 2-3, 2025) convening 250+ AI leaders; positions Morocco as regional GenAI hub.</t>
  </si>
  <si>
    <t xml:space="preserve">CollabConf (official)</t>
  </si>
  <si>
    <t xml:space="preserve">https://www.collabconf.com/genai/morocco/</t>
  </si>
  <si>
    <t xml:space="preserve">Listed among Morocco AI events on aggregators.</t>
  </si>
  <si>
    <t xml:space="preserve">Women in AI Network</t>
  </si>
  <si>
    <t xml:space="preserve">Women in AI Morocco</t>
  </si>
  <si>
    <t xml:space="preserve">National chapter of the global Women in AI network launched at an inaugural Casablanca summit (Dec 5, 2025) with keynote by IBM's Dr. Kaoutar El Maghraoui.</t>
  </si>
  <si>
    <t xml:space="preserve">Chapter launch</t>
  </si>
  <si>
    <t xml:space="preserve">https://www.moroccoworldnews.com/2025/12/270367/women-in-ai-morocco-to-launch-national-chapter-at-casablanca-summit/</t>
  </si>
  <si>
    <t xml:space="preserve">Global WAI affiliation stated in article.</t>
  </si>
  <si>
    <t xml:space="preserve">National Digital-Sector Branding</t>
  </si>
  <si>
    <t xml:space="preserve">MoroccoTech</t>
  </si>
  <si>
    <t xml:space="preserve">National brand launched Jan 2022 by the Ministry of Digital Transition with APEBI, AMDIE, ADD, CGEM and AUSIM to position Morocco as a Digital Nation and international tech destination.</t>
  </si>
  <si>
    <t xml:space="preserve">Initiative launch</t>
  </si>
  <si>
    <t xml:space="preserve">2022-01</t>
  </si>
  <si>
    <t xml:space="preserve">https://www.maroc.ma/fr/actualites/rabat-lancement-de-la-marque-moroccotech-de-promotion-du-secteur-digital</t>
  </si>
  <si>
    <t xml:space="preserve">Cross-checked with Medias24 and Telquel.</t>
  </si>
  <si>
    <t xml:space="preserve">AI in Rail Transport</t>
  </si>
  <si>
    <t xml:space="preserve">ONCF - AI &amp; Digital Factory</t>
  </si>
  <si>
    <t xml:space="preserve">National railway operator's #ONCFDIGITAL roadmap and Digital Factory: convention with FRDISI for AI-based intermodal transport management and automated defect detection on high-speed trains; predictive maintenance targeting 60% incident reduction by 2030.</t>
  </si>
  <si>
    <t xml:space="preserve">Partnership &amp; program</t>
  </si>
  <si>
    <t xml:space="preserve">https://medias24.com/2025/05/15/loncf-londa-et-la-sntl-sassocient-a-la-frdisi-pour-promouvoir-linnovation-dans-le-transport/</t>
  </si>
  <si>
    <t xml:space="preserve">Targets cross-checked via Agence Ecofin (Dec 2025).</t>
  </si>
  <si>
    <t xml:space="preserve">Engineering Research Foundation</t>
  </si>
  <si>
    <t xml:space="preserve">FRDISI</t>
  </si>
  <si>
    <t xml:space="preserve">Moroccan research foundation partnering with ONCF, ONDA and SNTL to develop AI-based intermodal transport management and automated surface-defect detection for high-speed trains.</t>
  </si>
  <si>
    <t xml:space="preserve">Partnership</t>
  </si>
  <si>
    <t xml:space="preserve">[Pending verification] Limited independent coverage of the foundation itself.</t>
  </si>
  <si>
    <t xml:space="preserve">AI Policy Research</t>
  </si>
  <si>
    <t xml:space="preserve">Policy Center for the New South</t>
  </si>
  <si>
    <t xml:space="preserve">Rabat-based think tank publishing policy research on Morocco's AI trajectory, including analysis of AI regulatory framing and economic strategy.</t>
  </si>
  <si>
    <t xml:space="preserve">Research publication</t>
  </si>
  <si>
    <t xml:space="preserve">Policy Center for the New South (official)</t>
  </si>
  <si>
    <t xml:space="preserve">https://www.policycenter.ma/publications/lintelligence-artificielle-au-maroc-entre-encadrement-reglementaire-et-strategie</t>
  </si>
  <si>
    <t xml:space="preserve">Publication verified on official site.</t>
  </si>
  <si>
    <t xml:space="preserve">Academic AI Research Lab</t>
  </si>
  <si>
    <t xml:space="preserve">RIADI Laboratory (ENSI Manouba)</t>
  </si>
  <si>
    <t xml:space="preserve">One of Tunisia's oldest and largest computer-science labs (founded 1999, ~70 senior researchers); research in AI, NLP, process mining, knowledge graphs and earth-observation AI.</t>
  </si>
  <si>
    <t xml:space="preserve">Research lab profile</t>
  </si>
  <si>
    <t xml:space="preserve">1999</t>
  </si>
  <si>
    <t xml:space="preserve">Laboratoire RIADI (official)</t>
  </si>
  <si>
    <t xml:space="preserve">http://www.riadi.rnu.tn/</t>
  </si>
  <si>
    <t xml:space="preserve">Official lab site live; AI focus cross-checked via conference programs.</t>
  </si>
  <si>
    <t xml:space="preserve">LARODEC Laboratory (ISG Tunis)</t>
  </si>
  <si>
    <t xml:space="preserve">Operations-research and decision-science lab designing intelligent systems, machine learning under uncertainty and decision support; alumni include prominent AI researchers.</t>
  </si>
  <si>
    <t xml:space="preserve">LARODEC (official)</t>
  </si>
  <si>
    <t xml:space="preserve">http://www.larodec.com/</t>
  </si>
  <si>
    <t xml:space="preserve">Official site live with research areas and members.</t>
  </si>
  <si>
    <t xml:space="preserve">Public Digital/AI Research Center</t>
  </si>
  <si>
    <t xml:space="preserve">Digital Research Center of Sfax (CRNS)</t>
  </si>
  <si>
    <t xml:space="preserve">Public R&amp;D institution (est. 2013) at Sfax Technopole; deep-learning, computer-vision and document-AI teams; applied AI for e-health, smart agriculture and Industry 4.0.</t>
  </si>
  <si>
    <t xml:space="preserve">Research center profile</t>
  </si>
  <si>
    <t xml:space="preserve">CRNS (official)</t>
  </si>
  <si>
    <t xml:space="preserve">https://crns.rnrt.tn/</t>
  </si>
  <si>
    <t xml:space="preserve">AI output cross-checked via Google Scholar and IEEE Tunisia.</t>
  </si>
  <si>
    <t xml:space="preserve">MIRACL Laboratory (University of Sfax)</t>
  </si>
  <si>
    <t xml:space="preserve">Multimedia, Information systems and Advanced Computing Lab (est. 2005); machine learning, Arabic NLP, data mining and big-data research; partners with European labs.</t>
  </si>
  <si>
    <t xml:space="preserve">MIRACL (official)</t>
  </si>
  <si>
    <t xml:space="preserve">http://www.miracl.rnu.tn/</t>
  </si>
  <si>
    <t xml:space="preserve">ML/NLP focus cross-checked via arXiv publications.</t>
  </si>
  <si>
    <t xml:space="preserve">LIPAH Laboratory (FST, Univ. Tunis El Manar)</t>
  </si>
  <si>
    <t xml:space="preserve">Computer-science lab in algorithmics and heuristics: knowledge extraction, intelligent data analysis and genetic programming for ML.</t>
  </si>
  <si>
    <t xml:space="preserve">Universite de Tunis El Manar (official portal)</t>
  </si>
  <si>
    <t xml:space="preserve">https://utm.rnu.tn/visirech/Fr/utm/fst/lipah/</t>
  </si>
  <si>
    <t xml:space="preserve">Official UTM portal entry; work cross-checked via HAL.</t>
  </si>
  <si>
    <t xml:space="preserve">LR-SITI Laboratory (ENIT)</t>
  </si>
  <si>
    <t xml:space="preserve">Signal, Image and Information Technology lab (LR11ES17) at national engineering school ENIT; signal/image processing and pattern-recognition research.</t>
  </si>
  <si>
    <t xml:space="preserve">ENIT doctoral school STI</t>
  </si>
  <si>
    <t xml:space="preserve">http://www.edsti.enit.rnu.tn/fr/structures_02.php?id=18</t>
  </si>
  <si>
    <t xml:space="preserve">[Pending verification] AI/ML depth verified only via secondary academic profiles. CONFIRMED name/host via dedicated research pass: full name 'Signal, Image and Technology of Information Laboratory,' hosted at ENIT (matches this entry), University of Tunis El Manar. Core focus is signal/image processing; AI is applied methodology, not the lab's foundational identity.</t>
  </si>
  <si>
    <t xml:space="preserve">Public AI Education Institute</t>
  </si>
  <si>
    <t xml:space="preserve">Public AI Engineering Institute (University of Tunis)</t>
  </si>
  <si>
    <t xml:space="preserve">Tunisia's first public engineering institute specialized in artificial intelligence, announced by the Higher Education Ministry to open at the University of Tunis (Sept 2024).</t>
  </si>
  <si>
    <t xml:space="preserve">Institution launch news</t>
  </si>
  <si>
    <t xml:space="preserve">2024-04</t>
  </si>
  <si>
    <t xml:space="preserve">University World News</t>
  </si>
  <si>
    <t xml:space="preserve">https://www.universityworldnews.com/post.php?story=20240423064239372</t>
  </si>
  <si>
    <t xml:space="preserve">Full article read; announcement attributed to Minister Boukthir.</t>
  </si>
  <si>
    <t xml:space="preserve">ICT Technology Park</t>
  </si>
  <si>
    <t xml:space="preserve">Elgazala Technopark</t>
  </si>
  <si>
    <t xml:space="preserve">Tunisia's first ICT technopole (est. 1999, Ariana; 90 companies incl. multinationals); hosts incubators, R&amp;D labs and AI/NLP startups; node of the national tech-park strategy.</t>
  </si>
  <si>
    <t xml:space="preserve">Ecosystem hub profile</t>
  </si>
  <si>
    <t xml:space="preserve">Smart Tunisian Technoparks (official)</t>
  </si>
  <si>
    <t xml:space="preserve">http://www.elgazala.tn/en/home</t>
  </si>
  <si>
    <t xml:space="preserve">Role in AI ecosystem cross-checked via press coverage.</t>
  </si>
  <si>
    <t xml:space="preserve">Regional Technology Park &amp; Incubator</t>
  </si>
  <si>
    <t xml:space="preserve">Technopole de Sfax (CoStarT)</t>
  </si>
  <si>
    <t xml:space="preserve">ICT and multimedia technopole in Sfax hosting CRNS; its CoStarT incubator runs Tunisian Smart Cities hackathons on digital/smart-city innovation.</t>
  </si>
  <si>
    <t xml:space="preserve">Ecosystem hub / event news</t>
  </si>
  <si>
    <t xml:space="preserve">2021-06</t>
  </si>
  <si>
    <t xml:space="preserve">AllAfrica (TAP)</t>
  </si>
  <si>
    <t xml:space="preserve">https://allafrica.com/stories/202106210365.html</t>
  </si>
  <si>
    <t xml:space="preserve">Cross-checked with incubator coverage.</t>
  </si>
  <si>
    <t xml:space="preserve">National Digital Jobs Program</t>
  </si>
  <si>
    <t xml:space="preserve">Smart Tunisia</t>
  </si>
  <si>
    <t xml:space="preserve">Public-private program (Ministry of Communication Technologies, ~EUR 500M incentives) to create 50,000 digital/offshoring jobs and position Tunisia as a regional IT-services hub.</t>
  </si>
  <si>
    <t xml:space="preserve">Government program profile</t>
  </si>
  <si>
    <t xml:space="preserve">Smart Tunisia (official)</t>
  </si>
  <si>
    <t xml:space="preserve">http://www.smarttunisia.tn/aboutus.html</t>
  </si>
  <si>
    <t xml:space="preserve">Budget and jobs targets cross-checked.</t>
  </si>
  <si>
    <t xml:space="preserve">Research &amp; Innovation Agency</t>
  </si>
  <si>
    <t xml:space="preserve">ANPR (Agence Nationale de la Promotion de la Recherche scientifique)</t>
  </si>
  <si>
    <t xml:space="preserve">National agency (est. 2008) that led Tunisia's AI Task Force and strategy workshops with UNESCO and manages National AI Fund grants and university AI Excellence Centers.</t>
  </si>
  <si>
    <t xml:space="preserve">Government agency profile</t>
  </si>
  <si>
    <t xml:space="preserve">ANPR (official)</t>
  </si>
  <si>
    <t xml:space="preserve">http://www.anpr.tn/national-ai-strategy-unlocking-tunisias-capabilities-potential/</t>
  </si>
  <si>
    <t xml:space="preserve">Official ANPR AI-strategy page live.</t>
  </si>
  <si>
    <t xml:space="preserve">International Cooperation / Digital</t>
  </si>
  <si>
    <t xml:space="preserve">GIZ Digital Transformation Center Tunisia</t>
  </si>
  <si>
    <t xml:space="preserve">German cooperation project with the Tunisian government supporting digital innovation, e-government and AI applications (incl. AI-based COVID response and support to the National AI Strategy).</t>
  </si>
  <si>
    <t xml:space="preserve">Development program profile</t>
  </si>
  <si>
    <t xml:space="preserve">GIZ (official)</t>
  </si>
  <si>
    <t xml:space="preserve">https://www.giz.de/en/worldwide/86916.html</t>
  </si>
  <si>
    <t xml:space="preserve">AI activities cross-checked via GIZ articles.</t>
  </si>
  <si>
    <t xml:space="preserve">Digital &amp; AI Skills Hub</t>
  </si>
  <si>
    <t xml:space="preserve">Orange Digital Center Tunis</t>
  </si>
  <si>
    <t xml:space="preserve">First Orange Digital Center worldwide (Tunis): free coding school with Data Science and AI courses, AI-for-Business startup training and youth AI programs.</t>
  </si>
  <si>
    <t xml:space="preserve">Training hub profile</t>
  </si>
  <si>
    <t xml:space="preserve">THD - Tunisie Haut Debit</t>
  </si>
  <si>
    <t xml:space="preserve">https://www.thd.tn/orange-digital-lance-des-cours-en-data-science-et-intelligence-artificielle/</t>
  </si>
  <si>
    <t xml:space="preserve">Multiple THD articles + official Orange training portal.</t>
  </si>
  <si>
    <t xml:space="preserve">Corporate Startup Accelerator</t>
  </si>
  <si>
    <t xml:space="preserve">Orange Fab Tunisie</t>
  </si>
  <si>
    <t xml:space="preserve">Orange's Tunis corporate accelerator; 8th cohort branded a 100% AI edition dedicated to artificial-intelligence startups.</t>
  </si>
  <si>
    <t xml:space="preserve">Accelerator cohort news</t>
  </si>
  <si>
    <t xml:space="preserve">Entreprises Magazine</t>
  </si>
  <si>
    <t xml:space="preserve">https://www.entreprises-magazine.com/orange-fab-tunisie-lance-sa-8eme-cohorte-une-edition-100-ia/</t>
  </si>
  <si>
    <t xml:space="preserve">Accelerator existence cross-checked via Orange Tunisie.</t>
  </si>
  <si>
    <t xml:space="preserve">Pre-Seed Accelerator &amp; Talent Program</t>
  </si>
  <si>
    <t xml:space="preserve">Open Startup Tunisia (OST)</t>
  </si>
  <si>
    <t xml:space="preserve">Pan-African pre-seed accelerator and university entrepreneurship program built with Columbia University; supported 600+ startups incl. 40+ DeepTech/AI ventures; runs OSTX bootcamps.</t>
  </si>
  <si>
    <t xml:space="preserve">https://startup.gov.tn/en/node/127</t>
  </si>
  <si>
    <t xml:space="preserve">Listed on official portal; AI/DeepTech portfolio cross-checked.</t>
  </si>
  <si>
    <t xml:space="preserve">AI Community Conference</t>
  </si>
  <si>
    <t xml:space="preserve">IndabaX Tunisia</t>
  </si>
  <si>
    <t xml:space="preserve">Tunisian chapter of the Deep Learning Indaba; annual community ML/AI congress since 2019; 6th edition May 3-4 2025 at Sup'Com, sponsored by InstaDeep.</t>
  </si>
  <si>
    <t xml:space="preserve">Event profile</t>
  </si>
  <si>
    <t xml:space="preserve">Deep Learning Indaba (official)</t>
  </si>
  <si>
    <t xml:space="preserve">https://deeplearningindaba.com/2025/indabax/tunisia/</t>
  </si>
  <si>
    <t xml:space="preserve">Official Indaba page + InstaDeep recap concur.</t>
  </si>
  <si>
    <t xml:space="preserve">AI/ML Hackathon</t>
  </si>
  <si>
    <t xml:space="preserve">AI Hack Tunisia</t>
  </si>
  <si>
    <t xml:space="preserve">Africa &amp; MENA's largest machine-learning hackathon (1,000+ participants), organized in Tunis by InstaDeep with Google and the Ministry of Industry, Mines and Energy.</t>
  </si>
  <si>
    <t xml:space="preserve">Event news</t>
  </si>
  <si>
    <t xml:space="preserve">African Manager</t>
  </si>
  <si>
    <t xml:space="preserve">https://en.africanmanager.com/instadeep-organises-ai-hack-tunisia-2022-the-largest-ml-hackathon-in-africa-and-the-middle-east-in-partnership-with-google-and-the-tunisian-ministry-of-industry-mines-and-energy/</t>
  </si>
  <si>
    <t xml:space="preserve">Cross-checked with instadeep.com hackathon pages.</t>
  </si>
  <si>
    <t xml:space="preserve">Tech &amp; AI Conference</t>
  </si>
  <si>
    <t xml:space="preserve">Tunisia Digital Summit (TDS)</t>
  </si>
  <si>
    <t xml:space="preserve">Tunisia's main digital-economy summit; 10th edition (April 22-23, 2026, Tunis, 2,000+ professionals) centered on AI, cybersecurity and startups.</t>
  </si>
  <si>
    <t xml:space="preserve">https://www.webmanagercenter.com/2026/04/22/565298/tunisia-digital-summit-2026-ia-cybersecurite-et-start-up-au-coeur-de-la-strategie-numerique/</t>
  </si>
  <si>
    <t xml:space="preserve">Event history cross-checked.</t>
  </si>
  <si>
    <t xml:space="preserve">Ministerial AI Summit</t>
  </si>
  <si>
    <t xml:space="preserve">AI Forward Summit (AICTO, Tunis)</t>
  </si>
  <si>
    <t xml:space="preserve">Arab-region ministerial AI summit in Tunis (Nov 30-Dec 3, 2025) organized by the Arab ICT Organization (HQ Tunis) with the Ministry of Communication Technologies; 500+ participants; produced the Tunis Declaration (WSIS+20).</t>
  </si>
  <si>
    <t xml:space="preserve">2025-11</t>
  </si>
  <si>
    <t xml:space="preserve">AICTO (official)</t>
  </si>
  <si>
    <t xml:space="preserve">https://www.aicto.org/9818-2/</t>
  </si>
  <si>
    <t xml:space="preserve">AICTO pages + Council of Europe participation page concur.</t>
  </si>
  <si>
    <t xml:space="preserve">Engineering Education &amp; AI Compute</t>
  </si>
  <si>
    <t xml:space="preserve">ESPRIT School of Engineering</t>
  </si>
  <si>
    <t xml:space="preserve">Leading private engineering school (Honoris network) with AI/Data Science tracks; acquired an NVIDIA DGX A100 640GB station described as Tunisia's most powerful AI computing resource, open to startups and researchers.</t>
  </si>
  <si>
    <t xml:space="preserve">Institution / infrastructure news</t>
  </si>
  <si>
    <t xml:space="preserve">https://www.entreprises-magazine.com/une-avancee-majeure-pour-lintelligence-artificielle-en-tunisie-esprit-acquiert-une-station-de-travail-revolutionnaire/</t>
  </si>
  <si>
    <t xml:space="preserve">DGX acquisition verified; AI curriculum on esprit.tn.</t>
  </si>
  <si>
    <t xml:space="preserve">Business Analytics/AI Education</t>
  </si>
  <si>
    <t xml:space="preserve">Tunis Business School (Univ. of Tunis)</t>
  </si>
  <si>
    <t xml:space="preserve">English-language public business school offering a Research Master in Business Analytics with machine learning, data mining and AI coursework.</t>
  </si>
  <si>
    <t xml:space="preserve">Tunis Business School (official)</t>
  </si>
  <si>
    <t xml:space="preserve">https://tunis-business-school.tn/</t>
  </si>
  <si>
    <t xml:space="preserve">[Pending verification] ML/AI course content verified only via student-run guide.</t>
  </si>
  <si>
    <t xml:space="preserve">E-commerce Price Intelligence</t>
  </si>
  <si>
    <t xml:space="preserve">Datavora</t>
  </si>
  <si>
    <t xml:space="preserve">Tunis big-data/AI startup monitoring 2,000+ retailers in 50 countries; algorithms match products, analyze trends and predict market behavior; NVIDIA Inception member.</t>
  </si>
  <si>
    <t xml:space="preserve">Company &amp; funding profile</t>
  </si>
  <si>
    <t xml:space="preserve">2017-06</t>
  </si>
  <si>
    <t xml:space="preserve">Entrepreneur Middle East</t>
  </si>
  <si>
    <t xml:space="preserve">https://www.entrepreneur.com/article/294026</t>
  </si>
  <si>
    <t xml:space="preserve">Funding cross-checked with datavora.com.</t>
  </si>
  <si>
    <t xml:space="preserve">AI Precision Irrigation</t>
  </si>
  <si>
    <t xml:space="preserve">Seabex</t>
  </si>
  <si>
    <t xml:space="preserve">AI-based sensorless precision-irrigation platform (50,000+ ha managed in Tunisia/France; ~30% water savings); seed round led by Water Unite Impact with Mercy Corps Ventures and Digital Africa.</t>
  </si>
  <si>
    <t xml:space="preserve">Water Unite</t>
  </si>
  <si>
    <t xml:space="preserve">https://www.waterunite.org/blog/post/22202/agri-tech-startup-seabex-closes-successful-seed-funding-round-led-by-water-unite-impact/</t>
  </si>
  <si>
    <t xml:space="preserve">Investor announcement cross-checked with seabex.com and Digital Africa.</t>
  </si>
  <si>
    <t xml:space="preserve">Digital Farm Management</t>
  </si>
  <si>
    <t xml:space="preserve">Ezzayra Solutions</t>
  </si>
  <si>
    <t xml:space="preserve">Tunisian agritech (est. 2015) with AgriManager farm-management software and autonomous/smart irrigation control; ~60 client farms; sensor-driven input optimization.</t>
  </si>
  <si>
    <t xml:space="preserve">Worldcrunch</t>
  </si>
  <si>
    <t xml:space="preserve">https://worldcrunch.com/tech-science/in-tunisia-a-digital-revolution-for-agriculture-takes-root</t>
  </si>
  <si>
    <t xml:space="preserve">[Pending verification] Explicit AI (vs IoT/automation) not independently confirmed.</t>
  </si>
  <si>
    <t xml:space="preserve">AI+IoT Irrigation</t>
  </si>
  <si>
    <t xml:space="preserve">iFarming Solutions</t>
  </si>
  <si>
    <t xml:space="preserve">Tunisian startup (est. 2017) whose Phyt'Eau platform uses IoT sensors and artificial intelligence for real-time irrigation management; winner of the Tunisia IoT &amp; AI Challenge.</t>
  </si>
  <si>
    <t xml:space="preserve">https://africanmanager.com/une-solution-dirrigation-purement-tunisienne-met-lintelligence-artificielle-au-service-de-lagriculture/</t>
  </si>
  <si>
    <t xml:space="preserve">AI claim explicit; cross-checked with FAO STI portal.</t>
  </si>
  <si>
    <t xml:space="preserve">AI Livestock Monitoring</t>
  </si>
  <si>
    <t xml:space="preserve">MooMe</t>
  </si>
  <si>
    <t xml:space="preserve">Tunisian dairy-tech startup (est. 2019): smart collars + app whose data is processed through AI statistical models for disease detection, heat detection and insemination timing; 3,000+ users across 8 African countries.</t>
  </si>
  <si>
    <t xml:space="preserve">$400,000</t>
  </si>
  <si>
    <t xml:space="preserve">Prosper Africa / USAID INVEST</t>
  </si>
  <si>
    <t xml:space="preserve">https://www.prosperafrica.gov/blog/meet-the-tech-startup-transforming-the-dairy-market-in-tunisia-and-beyond-an-interview-with-moome/</t>
  </si>
  <si>
    <t xml:space="preserve">AI processing explicit in USAID interview; cross-checked with GSMA.</t>
  </si>
  <si>
    <t xml:space="preserve">Climate/Water Tech (AI-Optimized)</t>
  </si>
  <si>
    <t xml:space="preserve">Kumulus Water</t>
  </si>
  <si>
    <t xml:space="preserve">Tunisian-French startup making solar-compatible atmospheric water generators (20-30 L/day) with predictive algorithms/AI-powered optimization; $3.5M seed (June 2025: Bpifrance, PlusVC, Khalys, Flat6Labs, Spadel).</t>
  </si>
  <si>
    <t xml:space="preserve">2025-06</t>
  </si>
  <si>
    <t xml:space="preserve">https://www.wamda.com/2025/06/tunisia-kumulus-water-closes-3-5-million-seed-round</t>
  </si>
  <si>
    <t xml:space="preserve">Funding cross-checked (Tech.eu, Forbes ME).</t>
  </si>
  <si>
    <t xml:space="preserve">IoT &amp; Energy Intelligence</t>
  </si>
  <si>
    <t xml:space="preserve">Chifco</t>
  </si>
  <si>
    <t xml:space="preserve">Pioneer Tunisian IoT startup (est. 2011; Tunis/Sousse/Paris) in smart home/energy with machine learning and big-data analytics; partnered with Tunisie Telecom; first Tunisian startup in French Tech.</t>
  </si>
  <si>
    <t xml:space="preserve">Disrup'Tunisia</t>
  </si>
  <si>
    <t xml:space="preserve">https://www.disruptunisia.com/startup-tunisie/chifco-5366</t>
  </si>
  <si>
    <t xml:space="preserve">[Pending verification] ML/BI claim from directory profile.</t>
  </si>
  <si>
    <t xml:space="preserve">AI Recruitment (HR-tech)</t>
  </si>
  <si>
    <t xml:space="preserve">Fabskill</t>
  </si>
  <si>
    <t xml:space="preserve">Tunisian SaaS recruitment platform (est. Dec 2018) using AI, NLP, ranking algorithms, video interviews and chatbots for sourcing and assessing talent; backed by TAEF.</t>
  </si>
  <si>
    <t xml:space="preserve">Company &amp; investment profile</t>
  </si>
  <si>
    <t xml:space="preserve">2018-12</t>
  </si>
  <si>
    <t xml:space="preserve">Tunisian American Enterprise Fund (TAEF)</t>
  </si>
  <si>
    <t xml:space="preserve">https://www.taefund.org/en/our-investments/fabskill/</t>
  </si>
  <si>
    <t xml:space="preserve">Investor page cross-checked with fabskill.com.</t>
  </si>
  <si>
    <t xml:space="preserve">Retail Computer Vision / Edge AI</t>
  </si>
  <si>
    <t xml:space="preserve">DataDoIt</t>
  </si>
  <si>
    <t xml:space="preserve">Tunis/Manouba startup (est. 2020) building AI pipelines for resource-constrained devices; smart-retail computer vision: footfall analytics, queue management, loss prevention.</t>
  </si>
  <si>
    <t xml:space="preserve">DataDoIt (official)</t>
  </si>
  <si>
    <t xml:space="preserve">https://data-doit.com/</t>
  </si>
  <si>
    <t xml:space="preserve">Site live; cross-checked with CB Insights and Tracxn.</t>
  </si>
  <si>
    <t xml:space="preserve">Retail Promotion AI</t>
  </si>
  <si>
    <t xml:space="preserve">Cognira</t>
  </si>
  <si>
    <t xml:space="preserve">AI promotion-management and retail-forecasting provider founded 2015 by Tunisian data scientists; Atlanta HQ with Tunis office as key AI R&amp;D hub (~113 employees).</t>
  </si>
  <si>
    <t xml:space="preserve">Product &amp; company news</t>
  </si>
  <si>
    <t xml:space="preserve">https://www.businesswire.com/news/home/20210120005150/en/Cognira-Makes-Its-AI-Powered-Promotion-Suite-Available-to-All-Retailers</t>
  </si>
  <si>
    <t xml:space="preserve">Tunis R&amp;D office cross-checked with cognira.com and LinkedIn.</t>
  </si>
  <si>
    <t xml:space="preserve">AI in Banking/Insurance Software</t>
  </si>
  <si>
    <t xml:space="preserve">VERMEG</t>
  </si>
  <si>
    <t xml:space="preserve">Tunisian-founded (1993, Tunis) global banking/insurance software house (1,500+ staff) embedding AI/ML in products (SOLIAM wealth management, collateral valuation, predictive analytics, risk models).</t>
  </si>
  <si>
    <t xml:space="preserve">Company AI profile</t>
  </si>
  <si>
    <t xml:space="preserve">1993</t>
  </si>
  <si>
    <t xml:space="preserve">Cash Platform</t>
  </si>
  <si>
    <t xml:space="preserve">https://www.cash-platform.com/harnessing-artificial-intelligence-how-vermeg-is-revolutionizing-financial-software-solutions/</t>
  </si>
  <si>
    <t xml:space="preserve">AI product claims cross-checked with vermeg.com.</t>
  </si>
  <si>
    <t xml:space="preserve">Engineering R&amp;D, Space &amp; AI</t>
  </si>
  <si>
    <t xml:space="preserve">TELNET Group</t>
  </si>
  <si>
    <t xml:space="preserve">Tunisian high-tech engineering group (est. 1994, listed on Tunis bourse); embedded software, IoT and AI expertise; built first Tunisian satellite Challenge One; launched an AI project for major-crop monitoring with INGC.</t>
  </si>
  <si>
    <t xml:space="preserve">Corporate AI project news</t>
  </si>
  <si>
    <t xml:space="preserve">2021-04</t>
  </si>
  <si>
    <t xml:space="preserve">https://www.webmanagercenter.com/2021/04/28/467096/telnet-holding-va-mettre-de-lintelligence-artificielle-dans-les-grandes-cultures-tunisiennes/</t>
  </si>
  <si>
    <t xml:space="preserve">Cross-checked with groupe-telnet.com.</t>
  </si>
  <si>
    <t xml:space="preserve">Telecom Data-AI Engineering</t>
  </si>
  <si>
    <t xml:space="preserve">Sofrecom Tunisie (Orange Group)</t>
  </si>
  <si>
    <t xml:space="preserve">Tunis engineering subsidiary of Orange's Sofrecom delivering Data &amp; AI services (data science, ML, analytics) for telecom operators; hosts an internal Data-AI expert community.</t>
  </si>
  <si>
    <t xml:space="preserve">Corporate capability profile</t>
  </si>
  <si>
    <t xml:space="preserve">Sofrecom (official)</t>
  </si>
  <si>
    <t xml:space="preserve">https://www.sofrecom.com/en/know-how/data-ai.html</t>
  </si>
  <si>
    <t xml:space="preserve">[Pending verification] Tunisia-specific AI community evidenced mainly via company posts.</t>
  </si>
  <si>
    <t xml:space="preserve">Telecom AI Infrastructure &amp; Programs</t>
  </si>
  <si>
    <t xml:space="preserve">Ooredoo Tunisie (AI Summit &amp; NVIDIA GPUaaS)</t>
  </si>
  <si>
    <t xml:space="preserve">Operator launched the Ooredoo AI Summit (Sept 28, 2025, Tunis) and an NVIDIA partnership for GPU-as-a-Service for Tunisian enterprises, AI training programs, a first AI hackathon and Tunisia's first agentic-AI project.</t>
  </si>
  <si>
    <t xml:space="preserve">Corporate AI initiative news</t>
  </si>
  <si>
    <t xml:space="preserve">https://www.webmanagercenter.com/2025/10/01/552748/ai-ooredoo-summit-2025-la-tunisie-mise-sur-lia-pour-booster-son-economie-numerique/</t>
  </si>
  <si>
    <t xml:space="preserve">NVIDIA GPUaaS consistent across multiple outlets.</t>
  </si>
  <si>
    <t xml:space="preserve">AI, Robotics &amp; Vision R&amp;D</t>
  </si>
  <si>
    <t xml:space="preserve">CDTA (Centre de Developpement des Technologies Avancees)</t>
  </si>
  <si>
    <t xml:space="preserve">State advanced-technology research center (Baba Hassen, Algiers, est. 1988); divisions research AI (face/speaker recognition, medical imaging), autonomous mobile-robot navigation, AR/VR, Industry 4.0 and biometrics.</t>
  </si>
  <si>
    <t xml:space="preserve">1988</t>
  </si>
  <si>
    <t xml:space="preserve">CDTA (official)</t>
  </si>
  <si>
    <t xml:space="preserve">https://www.cdta.dz/en/research-and-technology/divisions/</t>
  </si>
  <si>
    <t xml:space="preserve">Divisions page fetched; cross-checked with DGRSDT.</t>
  </si>
  <si>
    <t xml:space="preserve">Arabic NLP Research</t>
  </si>
  <si>
    <t xml:space="preserve">CRSTDLA (Centre de Recherche pour le Developpement de la Langue Arabe)</t>
  </si>
  <si>
    <t xml:space="preserve">Public research center (Algiers, est. 1991) under the Ministry of Higher Education dedicated to Arabic language sciences, with a division for automatic natural-language processing of Arabic.</t>
  </si>
  <si>
    <t xml:space="preserve">1991</t>
  </si>
  <si>
    <t xml:space="preserve">CRSTDLA (official)</t>
  </si>
  <si>
    <t xml:space="preserve">https://www.crstdla.dz/?page_id=11183</t>
  </si>
  <si>
    <t xml:space="preserve">NLP division cross-checked with DGRSDT listing.</t>
  </si>
  <si>
    <t xml:space="preserve">LMCS Laboratory - ESI Algiers</t>
  </si>
  <si>
    <t xml:space="preserve">Systems-design research laboratory (est. 1999) at ESI Algiers; six teams working on artificial intelligence, knowledge representation, classification, image processing and information systems.</t>
  </si>
  <si>
    <t xml:space="preserve">Laboratory profile</t>
  </si>
  <si>
    <t xml:space="preserve">LMCS - ESI (official)</t>
  </si>
  <si>
    <t xml:space="preserve">https://lmcs.esi.dz/laboratoire/presentation/</t>
  </si>
  <si>
    <t xml:space="preserve">Official lab subdomain of esi.dz; AI among stated domains.</t>
  </si>
  <si>
    <t xml:space="preserve">AI &amp; Data Science Degree Programs</t>
  </si>
  <si>
    <t xml:space="preserve">Universite Constantine 2 - Faculte NTIC</t>
  </si>
  <si>
    <t xml:space="preserve">Dedicated ICT faculty offering Master programs in Data Science &amp; Artificial Intelligence (DSIA) and Data Science &amp; Intelligent Systems; hosts AI-active research labs (e.g. MISC).</t>
  </si>
  <si>
    <t xml:space="preserve">Master admissions page</t>
  </si>
  <si>
    <t xml:space="preserve">Faculte NTIC, Universite Constantine 2 (official)</t>
  </si>
  <si>
    <t xml:space="preserve">https://facntic.univ-constantine2.dz/2024/06/28/candidatures-master-2024-2025/</t>
  </si>
  <si>
    <t xml:space="preserve">Official faculty page lists both AI/data-science masters.</t>
  </si>
  <si>
    <t xml:space="preserve">ML &amp; AI Research Lab</t>
  </si>
  <si>
    <t xml:space="preserve">LIO - Laboratoire d'Informatique d'Oran (Univ. Oran 1)</t>
  </si>
  <si>
    <t xml:space="preserve">Computer-science laboratory (est. 2009) with four teams including AIR (Machine Learning, Artificial Intelligence and Reasoning) on ML, knowledge extraction and reasoning.</t>
  </si>
  <si>
    <t xml:space="preserve">University lab directory</t>
  </si>
  <si>
    <t xml:space="preserve">2009</t>
  </si>
  <si>
    <t xml:space="preserve">Universite Oran 1 (official)</t>
  </si>
  <si>
    <t xml:space="preserve">https://labos.univ-oran1.dz/gestion_labo/rechepage.php?Submit=Rechercher&amp;editreche=&amp;num_labo=53&amp;varcloses=Tous&amp;varcloses2=Rien&amp;varcloses3=Tous</t>
  </si>
  <si>
    <t xml:space="preserve">Official directory confirms AIR team.</t>
  </si>
  <si>
    <t xml:space="preserve">AI-Assisted Medical Diagnosis Research</t>
  </si>
  <si>
    <t xml:space="preserve">GBM Biomedical Engineering Laboratory - Univ. Tlemcen</t>
  </si>
  <si>
    <t xml:space="preserve">Biomedical engineering department/laboratory at Abou Bekr Belkaid University Tlemcen; scope includes intelligent diagnostic systems, computer-assisted therapy, medical imaging and telemedicine.</t>
  </si>
  <si>
    <t xml:space="preserve">Universite de Tlemcen (official)</t>
  </si>
  <si>
    <t xml:space="preserve">https://gbm.univ-tlemcen.dz/</t>
  </si>
  <si>
    <t xml:space="preserve">Intelligent diagnostic systems scope confirmed on faculty pages.</t>
  </si>
  <si>
    <t xml:space="preserve">University AI Master Program</t>
  </si>
  <si>
    <t xml:space="preserve">Master IFIA - Informatique Fondamentale et IA (Univ. Setif 1)</t>
  </si>
  <si>
    <t xml:space="preserve">Master program in fundamental computer science and artificial intelligence at Universite Ferhat Abbas Setif 1 (Faculty of Sciences).</t>
  </si>
  <si>
    <t xml:space="preserve">Program document</t>
  </si>
  <si>
    <t xml:space="preserve">Universite Setif 1 (official)</t>
  </si>
  <si>
    <t xml:space="preserve">https://www.univ-setif.dz/Pedagogie/Offres-formation-2016-2017/Sciences/Master/D03-MI-2009-Informatique-Fondamentale-Intelligence-Artificielle.pdf</t>
  </si>
  <si>
    <t xml:space="preserve">[Pending verification] Document dates from 2016-2017; current status unconfirmed.</t>
  </si>
  <si>
    <t xml:space="preserve">Master Systemes Informatiques Intelligents (USTHB)</t>
  </si>
  <si>
    <t xml:space="preserve">Master in intelligent information systems at USTHB's computer-science department (Algiers), covering AI, machine learning and intelligent systems; distinct from the LRIA laboratory.</t>
  </si>
  <si>
    <t xml:space="preserve">Program page</t>
  </si>
  <si>
    <t xml:space="preserve">USTHB Departement Informatique (official)</t>
  </si>
  <si>
    <t xml:space="preserve">http://deptinfo.usthb.dz/?q=node%2F15</t>
  </si>
  <si>
    <t xml:space="preserve">Cross-checked with fei.usthb.dz program listing.</t>
  </si>
  <si>
    <t xml:space="preserve">Technology Park Operator &amp; Incubation</t>
  </si>
  <si>
    <t xml:space="preserve">ANPT (Agence Nationale des Parcs Technologiques)</t>
  </si>
  <si>
    <t xml:space="preserve">State agency (est. 2004) operating the 92-ha Sidi Abdellah Technopark and regional technoparks; runs an incubator and the Virtual Incubation Program (VIP); hosts AI-focused events.</t>
  </si>
  <si>
    <t xml:space="preserve">Agency profile</t>
  </si>
  <si>
    <t xml:space="preserve">2004</t>
  </si>
  <si>
    <t xml:space="preserve">ANPT (official)</t>
  </si>
  <si>
    <t xml:space="preserve">https://www.anpt.dz/about</t>
  </si>
  <si>
    <t xml:space="preserve">Distinct from the Sidi Abdallah AI hubs (ANPT is the park operator).</t>
  </si>
  <si>
    <t xml:space="preserve">Tech Conference (AI/Cloud/Cyber)</t>
  </si>
  <si>
    <t xml:space="preserve">Algeria 2.0</t>
  </si>
  <si>
    <t xml:space="preserve">Long-running Algerian tech event (13th edition, 24-28 Nov 2026, Sidi Abdellah Cyberparc) with workshops and hackathons on AI, cloud, cybersecurity, web/mobile and SaaS.</t>
  </si>
  <si>
    <t xml:space="preserve">Event page</t>
  </si>
  <si>
    <t xml:space="preserve">2026-11-24</t>
  </si>
  <si>
    <t xml:space="preserve">Algeria 2.0 (official)</t>
  </si>
  <si>
    <t xml:space="preserve">https://algeria20.com/?lang=en</t>
  </si>
  <si>
    <t xml:space="preserve">Official site; venue and AI topics stated.</t>
  </si>
  <si>
    <t xml:space="preserve">Private Incubation &amp; African Acceleration</t>
  </si>
  <si>
    <t xml:space="preserve">IncubMe</t>
  </si>
  <si>
    <t xml:space="preserve">Private Algiers incubator/accelerator; its AFRICA by IncubMe program supports African entrepreneurs across health, renewable energy, fintech, IoT, ICT and agriculture.</t>
  </si>
  <si>
    <t xml:space="preserve">IncubMe (official)</t>
  </si>
  <si>
    <t xml:space="preserve">https://incubme.com/</t>
  </si>
  <si>
    <t xml:space="preserve">Africa cohort cross-checked with Ilboursa; AI one of several verticals.</t>
  </si>
  <si>
    <t xml:space="preserve">Innovation Hub &amp; Open-Innovation Programs</t>
  </si>
  <si>
    <t xml:space="preserve">Leancubator</t>
  </si>
  <si>
    <t xml:space="preserve">Algiers innovation hub implementing national programs (Kick-Start with Algeria Venture and the Knowledge Economy Ministry), Algeria Startup Challenge and EU-funded incubation; ranked top Algerian incubator in 2025.</t>
  </si>
  <si>
    <t xml:space="preserve">Leancubator (official)</t>
  </si>
  <si>
    <t xml:space="preserve">https://leancubator.co/programs/</t>
  </si>
  <si>
    <t xml:space="preserve">Role as ASC organizer stated on site.</t>
  </si>
  <si>
    <t xml:space="preserve">Startup Competition with AI Track</t>
  </si>
  <si>
    <t xml:space="preserve">Algeria Startup Challenge (ASC)</t>
  </si>
  <si>
    <t xml:space="preserve">Largest Algerian open-innovation startup program (created 2018); 7th edition final (24 Nov 2025, Sidi Fredj) with 16 finalists and panels on AI's structuring role in the national economy.</t>
  </si>
  <si>
    <t xml:space="preserve">Event page + news</t>
  </si>
  <si>
    <t xml:space="preserve">2025-11-24</t>
  </si>
  <si>
    <t xml:space="preserve">Algeria Startup Challenge (official)</t>
  </si>
  <si>
    <t xml:space="preserve">https://algeriastartupchallenge.com/</t>
  </si>
  <si>
    <t xml:space="preserve">2025 edition cross-checked with Le Courrier d'Algerie.</t>
  </si>
  <si>
    <t xml:space="preserve">Pan-African Startup &amp; AI Conference</t>
  </si>
  <si>
    <t xml:space="preserve">African Startup Conference (Algiers)</t>
  </si>
  <si>
    <t xml:space="preserve">Annual pan-African startup conference at CIC Algiers; 3rd edition (Dec 2024) put AI at its heart with 45 ministers, 800+ investors/startups, an AI tech exhibition and an African VC Summit.</t>
  </si>
  <si>
    <t xml:space="preserve">AL24 News</t>
  </si>
  <si>
    <t xml:space="preserve">https://al24news.dz/en/african-start-up-conference-ai-at-the-heart-of-3rd-edition-in-algiers/</t>
  </si>
  <si>
    <t xml:space="preserve">Cross-checked with Xinhua and allAfrica.</t>
  </si>
  <si>
    <t xml:space="preserve">Angel Investment Network</t>
  </si>
  <si>
    <t xml:space="preserve">Casbah Business Angels</t>
  </si>
  <si>
    <t xml:space="preserve">First independent Algerian business-angel network (launched 2012 by Silicon Valley and Algerian CEOs), providing early-stage funding and mentorship to Algerian tech startups.</t>
  </si>
  <si>
    <t xml:space="preserve">Gust</t>
  </si>
  <si>
    <t xml:space="preserve">https://gust.com/organizations/casbah-business-angels</t>
  </si>
  <si>
    <t xml:space="preserve">Cross-checked with VC4A and MAGNiTT; generalist tech investor.</t>
  </si>
  <si>
    <t xml:space="preserve">State Accelerator &amp; Fund</t>
  </si>
  <si>
    <t xml:space="preserve">Algeria Venture (A-Venture)</t>
  </si>
  <si>
    <t xml:space="preserve">First state-owned startup accelerator (est. Dec 2020) coaching and financing startups; agreement with SEAF created the $80M Algeria Innovation Funds; co-launched the AventureCloudz AI platform (2026).</t>
  </si>
  <si>
    <t xml:space="preserve">$80,000,000 (fund)</t>
  </si>
  <si>
    <t xml:space="preserve">Algerie Eco</t>
  </si>
  <si>
    <t xml:space="preserve">https://algerie-eco.com/2023/01/25/startups-algeria-venture-et-seaf-vont-creer-un-fonds-dinvestissement-dune-valeur-de-80-millions-de-dollars/</t>
  </si>
  <si>
    <t xml:space="preserve">Sovereign AI/Cloud Developer Platform</t>
  </si>
  <si>
    <t xml:space="preserve">AventureCloudz</t>
  </si>
  <si>
    <t xml:space="preserve">Full-stack sovereign AI development platform launched 29 Apr 2026 by Djezzy, Algeria Venture and Taubyte; hosted on Djezzy cloud, offering serverless, databases, storage and AI workflows for Algerian developers.</t>
  </si>
  <si>
    <t xml:space="preserve">2026-04-29</t>
  </si>
  <si>
    <t xml:space="preserve">https://techafricanews.com/2026/05/04/algeria-venture-djezzy-and-taubyte-launch-ai-development-platform-aventurecloudz/</t>
  </si>
  <si>
    <t xml:space="preserve">Cross-checked with official ac.dz and Telecompaper.</t>
  </si>
  <si>
    <t xml:space="preserve">Telecom AI Adoption &amp; Partnerships</t>
  </si>
  <si>
    <t xml:space="preserve">Djezzy (AI initiatives)</t>
  </si>
  <si>
    <t xml:space="preserve">Telecom operator building AI capability: ENSIA partnership (Dec 2024) for AI projects, cloud launch, open-innovation deals with Algerian AI startups (AI Grid, Capture-Doc, Intadj) and the AventureCloudz platform.</t>
  </si>
  <si>
    <t xml:space="preserve">https://algerie-eco.com/2024/12/23/djezzy-sengage-dans-lere-de-lintelligence-artificielle-en-partenariat-avec-lensia/</t>
  </si>
  <si>
    <t xml:space="preserve">Cross-checked with TSA; covers Djezzy as corporate actor (ENSIA already in DB).</t>
  </si>
  <si>
    <t xml:space="preserve">Telecom Support for AI Ecosystem</t>
  </si>
  <si>
    <t xml:space="preserve">Ooredoo Algerie (AI initiatives)</t>
  </si>
  <si>
    <t xml:space="preserve">Telecom operator backing Algerian AI: partner of the RIPOST AI reputation-intelligence launch (May 2026), AI initiation workshops for children with startup TechMology, and AI-literacy events.</t>
  </si>
  <si>
    <t xml:space="preserve">Corporate press release</t>
  </si>
  <si>
    <t xml:space="preserve">2026-05-18</t>
  </si>
  <si>
    <t xml:space="preserve">Ooredoo Algeria (official)</t>
  </si>
  <si>
    <t xml:space="preserve">https://www.ooredoo.dz/fr/w/tout-sur-ooredoo/communiques-de-presse/ooredoo-accompagne-le-lancement-de-la-solution-algerienne-innovante-de-veille-et-d-intelligence-artificielle-ripost</t>
  </si>
  <si>
    <t xml:space="preserve">Official press release; cross-checked with LNR.</t>
  </si>
  <si>
    <t xml:space="preserve">AI Media/Brand Intelligence SaaS</t>
  </si>
  <si>
    <t xml:space="preserve">Intaj Digital - RIPOST</t>
  </si>
  <si>
    <t xml:space="preserve">Algerian startup whose RIPOST platform (launched 18 May 2026, fully developed and hosted in Algeria) uses proprietary AI for real-time monitoring of digital conversations, sentiment analysis, predictions and a dynamic Brand Score.</t>
  </si>
  <si>
    <t xml:space="preserve">La Nouvelle Republique</t>
  </si>
  <si>
    <t xml:space="preserve">https://www.lnr-dz.com/2026/05/21/ooredoo-accompagne-le-lancement-de-la-solution-algerienne-innovante-de-veille-et-dintelligence-artificielle-ripost/</t>
  </si>
  <si>
    <t xml:space="preserve">Cross-checked with official Ooredoo release.</t>
  </si>
  <si>
    <t xml:space="preserve">Sovereign GPU/AI Cloud</t>
  </si>
  <si>
    <t xml:space="preserve">AI Grid</t>
  </si>
  <si>
    <t xml:space="preserve">Algerian startup building sovereign, energy-efficient GPU/AI cloud infrastructure (founded by an ex-Microsoft AI speech scientist); conventions signed with Etihad Groupe at ASC (Dec 2025); works with Djezzy on AI solutions.</t>
  </si>
  <si>
    <t xml:space="preserve">Algerie Patriotique</t>
  </si>
  <si>
    <t xml:space="preserve">https://algeriepatriotique.com/2025/12/09/cybersecurite-intelligence-artificielle-et-economie-bleue-des-conventions-signees-entre-startups-et-entreprises/</t>
  </si>
  <si>
    <t xml:space="preserve">Cross-checked with TSA and El Moudjahid ASC coverage.</t>
  </si>
  <si>
    <t xml:space="preserve">AI-Powered HR Matching</t>
  </si>
  <si>
    <t xml:space="preserve">Emploitic</t>
  </si>
  <si>
    <t xml:space="preserve">Algeria's leading online recruitment platform (founded 2005), now integrating AI matching algorithms between candidate skills and job requirements while limiting discriminatory bias.</t>
  </si>
  <si>
    <t xml:space="preserve">El Watan</t>
  </si>
  <si>
    <t xml:space="preserve">https://elwatan.dz/recrutement-en-ligne-emploitic-celebre-ses-20-ans/</t>
  </si>
  <si>
    <t xml:space="preserve">AI-matching claims cross-checked with Le Courrier d'Algerie.</t>
  </si>
  <si>
    <t xml:space="preserve">AI Education for Children (EdTech)</t>
  </si>
  <si>
    <t xml:space="preserve">Tarik Education Center</t>
  </si>
  <si>
    <t xml:space="preserve">Algerian edtech whose Tarik platform teaches AI and programming to children (ages 4-18) through games; won 1st prize at the Arab IoT &amp; AI Challenge at GITEX Global Dubai (Oct 2023).</t>
  </si>
  <si>
    <t xml:space="preserve">https://www.algerie-eco.com/2023/10/18/dubai-une-startup-algerienne-primee-au-concours-arabe-dans-liot-et-lai/</t>
  </si>
  <si>
    <t xml:space="preserve">Cross-checked with founder interview coverage.</t>
  </si>
  <si>
    <t xml:space="preserve">Corporate AI/ICT Skills Academies</t>
  </si>
  <si>
    <t xml:space="preserve">Huawei Algerie ICT Academy &amp; ICT Competition</t>
  </si>
  <si>
    <t xml:space="preserve">Huawei's Algerian university academies train students in AI, big data, cloud and 5G; a dedicated AI specialty launched in Algeria; Algerian students won the three grand prizes at the global Huawei ICT Competition 2025-26.</t>
  </si>
  <si>
    <t xml:space="preserve">ObservAlgerie</t>
  </si>
  <si>
    <t xml:space="preserve">https://observalgerie.com/2026/06/06/societe/concours-huawei-les-etudiants-algeriens-decrochent-3-grands-prix/</t>
  </si>
  <si>
    <t xml:space="preserve">Cross-checked with El Moudjahid and UMMTO academy page.</t>
  </si>
  <si>
    <t xml:space="preserve">National AI Vocational Training</t>
  </si>
  <si>
    <t xml:space="preserve">Programme National de Formation en Intelligence Artificielle</t>
  </si>
  <si>
    <t xml:space="preserve">National AI training program launched April 2026 at the El Rahmania institute (Algiers) by the Ministries of Vocational Training and Knowledge Economy/Startups, to feed startup creation and train talent on real AI use cases.</t>
  </si>
  <si>
    <t xml:space="preserve">https://algerie-eco.com/2026/04/26/formation-professionnelle-lancement-dun-programme-national-de-formation-en-intelligence-artificielle/</t>
  </si>
  <si>
    <t xml:space="preserve">Cross-checked with Radio Algerienne and Agence Ecofin.</t>
  </si>
  <si>
    <t xml:space="preserve">Oil &amp; Gas Digitalization</t>
  </si>
  <si>
    <t xml:space="preserve">Sonatrach - Huawei Digitalization MoU</t>
  </si>
  <si>
    <t xml:space="preserve">State energy group Sonatrach signed an MoU with Huawei covering cloud computing, data centers, networks and cybersecurity for digital transformation; a separate Siemens Energy deal explores predictive maintenance.</t>
  </si>
  <si>
    <t xml:space="preserve">News item</t>
  </si>
  <si>
    <t xml:space="preserve">Radio Algerienne</t>
  </si>
  <si>
    <t xml:space="preserve">https://news.radioalgerie.dz/fr/node/47022</t>
  </si>
  <si>
    <t xml:space="preserve">[Pending verification] AI not explicitly named in the agreements (digitalization/cloud focus). CORRECTED framing + upgraded to Verified: confirmed via dedicated research pass this is a broad digital-transformation MoU (cloud, data centers, networks, cybersecurity) - AI is only one adjacent element (later fibre-sensing pipeline work), not the MoU's core scope.</t>
  </si>
  <si>
    <t xml:space="preserve">Cloud Infrastructure</t>
  </si>
  <si>
    <t xml:space="preserve">Taubyte</t>
  </si>
  <si>
    <t xml:space="preserve">Algerian startup (CEO Samy Fodil) specializing in open-source, Git-native cloud infrastructure automation. Powers AventureCloudz, a full-stack AI development platform launched April 2026 in partnership with telecom operator Djezzy and public accelerator Algeria Venture, positioned as a sovereign local alternative to foreign cloud providers (AWS, Azure, Google Cloud).</t>
  </si>
  <si>
    <t xml:space="preserve">2026-07-24</t>
  </si>
  <si>
    <t xml:space="preserve">https://www.ecofinagency.com/news-services/0205-55196-algerias-sovereign-cloud-push-targets-tech-jobs-for-young-developers</t>
  </si>
  <si>
    <t xml:space="preserve">Added to fill Algeria startup-coverage gap identified after supervisor feedback. Cross-confirmed across 7+ independent sources (TechAfrica News, Developing Telecoms, El Watan, Maghreb Emergent) all agreeing on date, partners, and product details.</t>
  </si>
  <si>
    <t xml:space="preserve">Metric</t>
  </si>
  <si>
    <t xml:space="preserve">Count</t>
  </si>
  <si>
    <t xml:space="preserve">Total entities</t>
  </si>
  <si>
    <t xml:space="preserve">By Verification Status</t>
  </si>
  <si>
    <t xml:space="preserve">  Mismatch found</t>
  </si>
  <si>
    <t xml:space="preserve">  Not yet verified</t>
  </si>
  <si>
    <t xml:space="preserve">  Verified</t>
  </si>
  <si>
    <t xml:space="preserve">By Country</t>
  </si>
  <si>
    <t xml:space="preserve">  Algeria</t>
  </si>
  <si>
    <t xml:space="preserve">  Egypt</t>
  </si>
  <si>
    <t xml:space="preserve">  Lebanon</t>
  </si>
  <si>
    <t xml:space="preserve">  Morocco</t>
  </si>
  <si>
    <t xml:space="preserve">  Tunisia</t>
  </si>
  <si>
    <t xml:space="preserve">By Entity Type</t>
  </si>
  <si>
    <t xml:space="preserve">  Hub</t>
  </si>
  <si>
    <t xml:space="preserve">  Investor</t>
  </si>
  <si>
    <t xml:space="preserve">  Policy</t>
  </si>
  <si>
    <t xml:space="preserve">  Startup</t>
  </si>
  <si>
    <t xml:space="preserve">By Application Sector</t>
  </si>
  <si>
    <t xml:space="preserve">  Agriculture</t>
  </si>
  <si>
    <t xml:space="preserve">  Cross-sector</t>
  </si>
  <si>
    <t xml:space="preserve">  Education</t>
  </si>
  <si>
    <t xml:space="preserve">  Energy</t>
  </si>
  <si>
    <t xml:space="preserve">  Finance</t>
  </si>
  <si>
    <t xml:space="preserve">  Government</t>
  </si>
  <si>
    <t xml:space="preserve">  Healthcare</t>
  </si>
  <si>
    <t xml:space="preserve">  Industry</t>
  </si>
  <si>
    <t xml:space="preserve">  Maritime</t>
  </si>
  <si>
    <t xml:space="preserve">Fix</t>
  </si>
  <si>
    <t xml:space="preserve">Detail</t>
  </si>
  <si>
    <t xml:space="preserve">v1 -&gt; v2: schema redesign</t>
  </si>
  <si>
    <t xml:space="preserve">Split ambiguous 'Date' column into Reference Date and Last Verified; added Source Name, Source Type, Verification Status fields; standardized N/A vs Undisclosed vs Not specified conventions.</t>
  </si>
  <si>
    <t xml:space="preserve">v2 -&gt; v3: verification pass</t>
  </si>
  <si>
    <t xml:space="preserve">Fetched and confirmed 8 Cambridge-cited claims; corrected Libyan Spider (AI website builder, not 'hosting nodes') and University of Tripoli (general A-Hub accelerator, not AI-specific 'hackathons') after both were found unsupported by their original sources; fixed Source Type inconsistencies (Crunchbase rows standardized to Aggregator).</t>
  </si>
  <si>
    <t xml:space="preserve">v3 -&gt; v4: user re-verification pass</t>
  </si>
  <si>
    <t xml:space="preserve">User independently re-verified the majority of entities against new/better sources (Verified count: 15 -&gt; 61 of 69). Added Libya, Morocco, Algeria, Tunisia entries with richer, specifically-sourced descriptions.</t>
  </si>
  <si>
    <t xml:space="preserve">v4 -&gt; v5 (this version): final QA pass</t>
  </si>
  <si>
    <t xml:space="preserve">Normalized Verification Status casing throughout (lowercase 'verified' / typo 'verfied' -&gt; 'Verified'); standardized all funding figures to consistent $X,XXX,XXX format; fixed LinkedIn source-name capitalization (6 rows) and one 'aba techonlogy' typo; converted remaining DD/MM/YYYY dates to ISO format.</t>
  </si>
  <si>
    <t xml:space="preserve">Games Kings (Libya) - REVERTED, not accepted</t>
  </si>
  <si>
    <t xml:space="preserve">Cited source (King.com press release) fetched and confirmed to be entirely unrelated - covers a 2022 acquisition of a Swedish AI company by the Candy Crush developer. Reverted to 'Mismatch found' and the original Crunchbase source pending real re-verification.</t>
  </si>
  <si>
    <t xml:space="preserve">The AI Campus (New Cairo) - confirmed and corrected</t>
  </si>
  <si>
    <t xml:space="preserve">Source fetched and confirmed genuinely accurate (official Orange Egypt press release). Description had a paste-related formatting error (rewritten); reference date corrected to 2026-04-20 (the article's own dateline, previously recorded as an unmatched '06/04/2026'); properly credits both real partners (Paragon | Adeer and Plug and Play).</t>
  </si>
  <si>
    <t xml:space="preserve">Digital Morocco 2030 - flagged, not accepted as Verified</t>
  </si>
  <si>
    <t xml:space="preserve">A new $1.2 billion funding figure was added with no supporting note. Reverted to 'Not yet verified' pending a direct check against the source PDF.</t>
  </si>
  <si>
    <t xml:space="preserve">AgriCan - flagged, not accepted as Verified</t>
  </si>
  <si>
    <t xml:space="preserve">Description text reads as generic pan-African commentary that doesn't clearly match this specific Egyptian company. Reverted to 'Not yet verified' pending confirmation.</t>
  </si>
  <si>
    <t xml:space="preserve">SCTPAI/LibiGPT - flagged, not accepted as Verified</t>
  </si>
  <si>
    <t xml:space="preserve">A new, more specific claim was added alongside a new source URL. Reverted to 'Not yet verified' pending confirmation this exact claim is supported.</t>
  </si>
  <si>
    <t xml:space="preserve">v5 -&gt; v6: verification + expansion pass</t>
  </si>
  <si>
    <t xml:space="preserve">Verified the 5 pending rows: Algeria Startup Act, Synapse Analytics (Konan; $2M/2024; founders) and iCompass (TunBERT; source upgraded to InstaDeep) confirmed and set to Verified; Games Kings kept 'Mismatch found' (gameskings.ai has no verifiable Libya link) and Ytech kept 'Not yet verified' (no working/independent source). Added 55 new source-verified AI-ecosystem entities across all 5 countries (startups, hubs, VCs, universities, research labs, national strategies). New rows sourced only to a single secondary/aggregator source and not independently re-fetched were left 'Not yet verified' (no green fill) for a human check; the rest were confirmed against primary/known sources. Summary counts rebuilt from the data.</t>
  </si>
  <si>
    <t xml:space="preserve">v6 -&gt; v7: large expansion pass</t>
  </si>
  <si>
    <t xml:space="preserve">Added 109 further source-verified AI-ecosystem entities across all 5 countries (AI startups, university labs/faculties, incubators/accelerators, VCs and public funds, national data centers/supercomputers, AI strategies and government programs). High-confidence entities (primary/official/reputable-press sources) set to 'Verified'; entities resting on a single aggregator/listicle/ResearchGate source were left 'Not yet verified' (no green fill) for a human check. Duplicates against existing rows were skipped. Summary rebuilt.</t>
  </si>
  <si>
    <t xml:space="preserve">v7 -&gt; v8: third expansion pass</t>
  </si>
  <si>
    <t xml:space="preserve">Added 151 further source-verified AI-ecosystem entities: Egypt AI faculties (Kafr El-Sheikh, Menoufia, Helwan, Benha, Alexandria, AASTMT, ERU, Horus, E-JUST), MCIT programs (DEBI, DECI, NTI-Huawei, Responsible-AI Charter, SCU guidelines), corporate AI R&amp;D centers (Valeo, Dell, VOIS, Affectiva, Oracle Morocco, Capgemini, Intelcia, Deloitte), public research centers (CDTA, CRSTDLA, CRNS Sfax, RIADI, LARODEC, MIRACL, MAScIR, CNRST), infrastructure (Atlas Cloud/AtlasX.AI, N+ONE, Oracle Casablanca Region, AventureCloudz), startups (Instabug/Luciq, Sylndr, Blnk, Mendel AI, Tactful AI, Sawalni, Juridia, DeepLeaf, Datavora, Seabex, MooMe, Kumulus, Cognira, VERMEG, TELNET, Intaj/RIPOST, AI Grid, Speetar...), events (Cairo ICT AI Everywhere, RiseUp AI Summit, IndabaX, AI Hack Tunisia, TDS, AI Forward/AICTO, GenAI Summit, Algeria 2.0, MI-STA) and government/policy rows across all 5 countries. Nile-Chat (MBZUAI/UAE) was deliberately excluded as out-of-scope (foreign actor). Single-source/AI-peripheral rows left 'Not yet verified' (no green fill). Summary rebuilt.</t>
  </si>
  <si>
    <t xml:space="preserve">v8 -&gt; v9: merged with independently-researched 384-row expansion</t>
  </si>
  <si>
    <t xml:space="preserve">Base file grew from 126 to 384 rows (258 net new entities across all 5 countries) via the user's own research. Spot-checks on previously-flagged entities (NextAV, RoboCare, Qabas, Freterium) found this file ALREADY has accurate, corrected descriptions for all of them - independently arrived at the same corrections as our earlier research pass.</t>
  </si>
  <si>
    <t xml:space="preserve">Taubyte restored</t>
  </si>
  <si>
    <t xml:space="preserve">Was missing from this file (as it was from the prior v4 merge too) - re-added from the verified v8 baseline.</t>
  </si>
  <si>
    <t xml:space="preserve">14 entities upgraded to Verified via exact-name cross-reference</t>
  </si>
  <si>
    <t xml:space="preserve">Cross-referenced two completed research passes (a 44-entity dedicated pass, and a broader Egypt/Morocco landscape pass) against this file's 58 'Not yet verified' rows. Only entities with an EXACT, unambiguous name match were upgraded, each with a note citing which research pass confirmed it: Qabas, TAIS, GRIFT Research Group, Deep Learning IndabaX Morocco, SYGMA.AI, Indatacore, Sylabs, Hadretna, Nojoom.ai, Code Libya 2026, TIEC, Falak Startups, AUC Venture Lab, Creativa AI Lab.</t>
  </si>
  <si>
    <t xml:space="preserve">IMPORTANT - what was NOT done in this pass</t>
  </si>
  <si>
    <t xml:space="preserve">44 of the 58 originally 'Not yet verified' entities remain untouched, honestly, because no specific confirmation exists for them yet (examples: Ytech, various university labs, Brite, Webville, Weelo, Qme, Keys AI, FabMinds, AfricInvest, UGFS-North Africa, and most Tunisia/Algeria/Libya-specific new entries). The Egypt/Morocco research pass was explicit that it could not match against this file's exact entity list - it verified the GENERAL landscape and caught category-error PATTERNS (e.g. proptech/fintech firms mislabeled as 'AI startups'), not every individual row. A further verification pass is recommended, specifically for: (1) the remaining Egypt/Morocco long-tail, and (2) Tunisia, Algeria, and Libya's new entities, which have not yet been researched at all in this expansion.</t>
  </si>
  <si>
    <t xml:space="preserve">Cross-cutting red flags to check manually</t>
  </si>
  <si>
    <t xml:space="preserve">The Egypt/Morocco research flagged two patterns worth manually checking against the FULL 384-row file (not just the 58 unverified): (1) InstaDeep must be tagged Tunisia, not Morocco (confirmed correct in this file); (2) any entity named 'NumberZ' is likely a misattributed Indian company, not Moroccan (not present in this file, confirmed clean).</t>
  </si>
  <si>
    <t xml:space="preserve">v9 -&gt; v10: Tunisia/Algeria/Libya research pass applied</t>
  </si>
  <si>
    <t xml:space="preserve">Cross-referenced the completed Tunisia/Algeria/Libya research pass (120 new entities) against v9. 8 entities upgraded to Verified on exact confirmation (LIMTIC, AfricInvest, UGFS-North Africa, Afiya Investments, Libyan Authority for Scientific Research, University of Benghazi, Misrata University conference, EcoVision Libya). 7 entities had over-labeling/miscategorization corrected (GoMyCode, FarmAI, MEDIATRON, GRES'COM, LR-SITI, Sonatrach-Huawei MoU) - each now accurately frames AI as adjacent/applied rather than core, where that was the finding. 6 already-Verified entities got confirming research notes added (InstaDeep, Enova Robotics, ClusterLab, Sylabs, Thunder Code, Tatweer Research).</t>
  </si>
  <si>
    <t xml:space="preserve">Bug caught and fixed during this pass</t>
  </si>
  <si>
    <t xml:space="preserve">Tunisia National AI Strategy 2026-2030 was briefly, incorrectly flipped to 'Verified' by an overly broad script step, directly contradicting its own just-written note ('keeping status as Not yet verified pending a primary source'). Caught via a full self-contradiction audit (checking every row where status=Verified but notes contain hedging language like 'pending confirmation') and reverted immediately. Two other flagged rows (FarmAI, Code Libya 2026) were manually reviewed and confirmed legitimate - their hedge language refers to a single sub-detail (a prize amount, exact event dates), not the entity's core verification.</t>
  </si>
  <si>
    <t xml:space="preserve">GraspInc and Numython - checked, not present</t>
  </si>
  <si>
    <t xml:space="preserve">The research flagged these as likely non-existent/misattributed Algerian AI entities. Confirmed via direct search: neither exists in this tracker at all, so no removal was needed.</t>
  </si>
  <si>
    <t xml:space="preserve">Still open</t>
  </si>
  <si>
    <t xml:space="preserve">Egypt/Morocco long-tail (~19 entities) not covered by either research pass remains 'Not yet verified.' The remaining ~96 Tunisia/Algeria/Libya entities marked 'Verified' by the original file author were not individually re-confirmed in this pass (only entities the research explicitly named were touched) - a further targeted pass could still add value here.</t>
  </si>
  <si>
    <t xml:space="preserve">v10 -&gt; v11: Libya removed, Lebanon added, Application Sector column added</t>
  </si>
  <si>
    <t xml:space="preserve">Removed all 33 Libya rows (out of project scope; target country is Lebanon). Added 24 Lebanon rows covering national AI/digital strategies (MITAI 2025-2030, ESCWA advisory, Industry AI 2020-2050, BDL Circular 331), ecosystem hubs (Berytech, BDD, Speed@BDD, UK Lebanon Tech Hub, Beirut AI), investors (Berytech Fund II, MEVP, B&amp;Y, Kafalat iSME) and startups (Zaka, Proximie, Revotonix, Neotic, Bluering, LUXEED, Cherpa, Anghami). Rows resting on a single aggregator/SEO source left 'Not yet verified' (no green fill) for a human check. Added new 'Application Sector' column (D) classifying every row into: Education, Healthcare, Agriculture, Energy, Industry, Maritime + 3 added categories (Finance, Government, Cross-sector); Industry doubles as the catch-all for tech products (robotics, NLP, logistics, SaaS...) per user instruction. Summary rebuilt with live COUNTIF formulas incl. Application Sector breakdown.</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</si>
</sst>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E2EFDA"/>
        <bgColor rgb="FFFFF2CC"/>
      </patternFill>
    </fill>
    <fill>
      <patternFill patternType="solid">
        <fgColor rgb="FFFFF2CC"/>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fgColor rgb="FFE2EFDA"/>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20"/>
    <col collapsed="false" customWidth="true" hidden="false" outlineLevel="0" max="4" min="4" style="0" width="16"/>
    <col collapsed="false" customWidth="true" hidden="false" outlineLevel="0" max="5" min="5" style="0" width="10"/>
    <col collapsed="false" customWidth="true" hidden="false" outlineLevel="0" max="6" min="6" style="0" width="30"/>
    <col collapsed="false" customWidth="true" hidden="false" outlineLevel="0" max="7" min="7" style="0" width="50"/>
    <col collapsed="false" customWidth="true" hidden="false" outlineLevel="0" max="8" min="8" style="0" width="18"/>
    <col collapsed="false" customWidth="true" hidden="false" outlineLevel="0" max="10" min="9" style="0" width="13"/>
    <col collapsed="false" customWidth="true" hidden="false" outlineLevel="0" max="11" min="11" style="0" width="20"/>
    <col collapsed="false" customWidth="true" hidden="false" outlineLevel="0" max="12" min="12" style="0" width="26"/>
    <col collapsed="false" customWidth="true" hidden="false" outlineLevel="0" max="13" min="13" style="0" width="20"/>
    <col collapsed="false" customWidth="true" hidden="false" outlineLevel="0" max="14" min="14" style="0" width="42"/>
    <col collapsed="false" customWidth="true" hidden="false" outlineLevel="0" max="15" min="15" style="0" width="16"/>
    <col collapsed="false" customWidth="true" hidden="false" outlineLevel="0" max="16" min="16" style="0" width="50"/>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68.65" hidden="false" customHeight="false" outlineLevel="0" collapsed="false">
      <c r="A2" s="2" t="s">
        <v>16</v>
      </c>
      <c r="B2" s="2" t="s">
        <v>17</v>
      </c>
      <c r="C2" s="2" t="s">
        <v>18</v>
      </c>
      <c r="D2" s="2" t="s">
        <v>19</v>
      </c>
      <c r="E2" s="2" t="s">
        <v>17</v>
      </c>
      <c r="F2" s="2" t="s">
        <v>20</v>
      </c>
      <c r="G2" s="2" t="s">
        <v>21</v>
      </c>
      <c r="H2" s="2" t="s">
        <v>22</v>
      </c>
      <c r="I2" s="2" t="s">
        <v>23</v>
      </c>
      <c r="J2" s="2" t="s">
        <v>24</v>
      </c>
      <c r="K2" s="2" t="s">
        <v>25</v>
      </c>
      <c r="L2" s="2" t="s">
        <v>26</v>
      </c>
      <c r="M2" s="2" t="s">
        <v>27</v>
      </c>
      <c r="N2" s="2" t="s">
        <v>28</v>
      </c>
      <c r="O2" s="2" t="s">
        <v>29</v>
      </c>
      <c r="P2" s="2" t="s">
        <v>30</v>
      </c>
    </row>
    <row r="3" customFormat="false" ht="68.65" hidden="false" customHeight="false" outlineLevel="0" collapsed="false">
      <c r="A3" s="2" t="s">
        <v>16</v>
      </c>
      <c r="B3" s="2" t="s">
        <v>31</v>
      </c>
      <c r="C3" s="2" t="s">
        <v>32</v>
      </c>
      <c r="D3" s="2" t="s">
        <v>33</v>
      </c>
      <c r="E3" s="2" t="s">
        <v>34</v>
      </c>
      <c r="F3" s="2" t="s">
        <v>35</v>
      </c>
      <c r="G3" s="2" t="s">
        <v>36</v>
      </c>
      <c r="H3" s="2" t="s">
        <v>37</v>
      </c>
      <c r="I3" s="2" t="s">
        <v>38</v>
      </c>
      <c r="J3" s="2" t="s">
        <v>39</v>
      </c>
      <c r="K3" s="2" t="s">
        <v>25</v>
      </c>
      <c r="L3" s="2" t="s">
        <v>40</v>
      </c>
      <c r="M3" s="2" t="s">
        <v>41</v>
      </c>
      <c r="N3" s="2" t="s">
        <v>42</v>
      </c>
      <c r="O3" s="2" t="s">
        <v>29</v>
      </c>
      <c r="P3" s="2"/>
    </row>
    <row r="4" customFormat="false" ht="23.85" hidden="false" customHeight="false" outlineLevel="0" collapsed="false">
      <c r="A4" s="2" t="s">
        <v>16</v>
      </c>
      <c r="B4" s="2" t="s">
        <v>43</v>
      </c>
      <c r="C4" s="2" t="s">
        <v>44</v>
      </c>
      <c r="D4" s="2" t="s">
        <v>45</v>
      </c>
      <c r="E4" s="2" t="s">
        <v>34</v>
      </c>
      <c r="F4" s="2" t="s">
        <v>46</v>
      </c>
      <c r="G4" s="2" t="s">
        <v>47</v>
      </c>
      <c r="H4" s="2" t="s">
        <v>37</v>
      </c>
      <c r="I4" s="2" t="s">
        <v>48</v>
      </c>
      <c r="J4" s="2" t="s">
        <v>39</v>
      </c>
      <c r="K4" s="2" t="s">
        <v>25</v>
      </c>
      <c r="L4" s="2" t="s">
        <v>49</v>
      </c>
      <c r="M4" s="2" t="s">
        <v>41</v>
      </c>
      <c r="N4" s="2" t="s">
        <v>50</v>
      </c>
      <c r="O4" s="2" t="s">
        <v>29</v>
      </c>
      <c r="P4" s="2"/>
    </row>
    <row r="5" customFormat="false" ht="23.85" hidden="false" customHeight="false" outlineLevel="0" collapsed="false">
      <c r="A5" s="2" t="s">
        <v>16</v>
      </c>
      <c r="B5" s="2" t="s">
        <v>51</v>
      </c>
      <c r="C5" s="2" t="s">
        <v>52</v>
      </c>
      <c r="D5" s="2" t="s">
        <v>53</v>
      </c>
      <c r="E5" s="2" t="s">
        <v>34</v>
      </c>
      <c r="F5" s="2" t="s">
        <v>54</v>
      </c>
      <c r="G5" s="2" t="s">
        <v>55</v>
      </c>
      <c r="H5" s="2" t="s">
        <v>56</v>
      </c>
      <c r="I5" s="2" t="s">
        <v>57</v>
      </c>
      <c r="J5" s="2" t="s">
        <v>39</v>
      </c>
      <c r="K5" s="2" t="s">
        <v>25</v>
      </c>
      <c r="L5" s="2" t="s">
        <v>49</v>
      </c>
      <c r="M5" s="2" t="s">
        <v>41</v>
      </c>
      <c r="N5" s="2" t="s">
        <v>50</v>
      </c>
      <c r="O5" s="2" t="s">
        <v>29</v>
      </c>
      <c r="P5" s="2"/>
    </row>
    <row r="6" customFormat="false" ht="35.05" hidden="false" customHeight="false" outlineLevel="0" collapsed="false">
      <c r="A6" s="2" t="s">
        <v>16</v>
      </c>
      <c r="B6" s="2" t="s">
        <v>17</v>
      </c>
      <c r="C6" s="2" t="s">
        <v>58</v>
      </c>
      <c r="D6" s="2" t="s">
        <v>53</v>
      </c>
      <c r="E6" s="2" t="s">
        <v>17</v>
      </c>
      <c r="F6" s="2" t="s">
        <v>59</v>
      </c>
      <c r="G6" s="2" t="s">
        <v>60</v>
      </c>
      <c r="H6" s="2" t="s">
        <v>61</v>
      </c>
      <c r="I6" s="2" t="s">
        <v>62</v>
      </c>
      <c r="J6" s="2" t="s">
        <v>39</v>
      </c>
      <c r="K6" s="2" t="s">
        <v>25</v>
      </c>
      <c r="L6" s="2" t="s">
        <v>63</v>
      </c>
      <c r="M6" s="2" t="s">
        <v>64</v>
      </c>
      <c r="N6" s="2" t="s">
        <v>65</v>
      </c>
      <c r="O6" s="2" t="s">
        <v>29</v>
      </c>
      <c r="P6" s="2"/>
    </row>
    <row r="7" customFormat="false" ht="23.85" hidden="false" customHeight="false" outlineLevel="0" collapsed="false">
      <c r="A7" s="2" t="s">
        <v>16</v>
      </c>
      <c r="B7" s="2" t="s">
        <v>51</v>
      </c>
      <c r="C7" s="2" t="s">
        <v>52</v>
      </c>
      <c r="D7" s="2" t="s">
        <v>53</v>
      </c>
      <c r="E7" s="2" t="s">
        <v>34</v>
      </c>
      <c r="F7" s="2" t="s">
        <v>66</v>
      </c>
      <c r="G7" s="2" t="s">
        <v>67</v>
      </c>
      <c r="H7" s="2" t="s">
        <v>68</v>
      </c>
      <c r="I7" s="2" t="s">
        <v>69</v>
      </c>
      <c r="J7" s="2" t="s">
        <v>39</v>
      </c>
      <c r="K7" s="2" t="s">
        <v>25</v>
      </c>
      <c r="L7" s="2" t="s">
        <v>63</v>
      </c>
      <c r="M7" s="2" t="s">
        <v>64</v>
      </c>
      <c r="N7" s="2" t="s">
        <v>65</v>
      </c>
      <c r="O7" s="2" t="s">
        <v>29</v>
      </c>
      <c r="P7" s="2"/>
    </row>
    <row r="8" customFormat="false" ht="23.85" hidden="false" customHeight="false" outlineLevel="0" collapsed="false">
      <c r="A8" s="2" t="s">
        <v>16</v>
      </c>
      <c r="B8" s="2" t="s">
        <v>51</v>
      </c>
      <c r="C8" s="2" t="s">
        <v>70</v>
      </c>
      <c r="D8" s="2" t="s">
        <v>71</v>
      </c>
      <c r="E8" s="2" t="s">
        <v>17</v>
      </c>
      <c r="F8" s="2" t="s">
        <v>72</v>
      </c>
      <c r="G8" s="2" t="s">
        <v>73</v>
      </c>
      <c r="H8" s="2" t="s">
        <v>74</v>
      </c>
      <c r="I8" s="2" t="s">
        <v>75</v>
      </c>
      <c r="J8" s="2" t="s">
        <v>39</v>
      </c>
      <c r="K8" s="2" t="s">
        <v>76</v>
      </c>
      <c r="L8" s="2" t="s">
        <v>63</v>
      </c>
      <c r="M8" s="2" t="s">
        <v>64</v>
      </c>
      <c r="N8" s="2" t="s">
        <v>65</v>
      </c>
      <c r="O8" s="2" t="s">
        <v>29</v>
      </c>
      <c r="P8" s="2"/>
    </row>
    <row r="9" customFormat="false" ht="23.85" hidden="false" customHeight="false" outlineLevel="0" collapsed="false">
      <c r="A9" s="2" t="s">
        <v>16</v>
      </c>
      <c r="B9" s="2" t="s">
        <v>43</v>
      </c>
      <c r="C9" s="2" t="s">
        <v>77</v>
      </c>
      <c r="D9" s="2" t="s">
        <v>45</v>
      </c>
      <c r="E9" s="2" t="s">
        <v>78</v>
      </c>
      <c r="F9" s="2" t="s">
        <v>79</v>
      </c>
      <c r="G9" s="2" t="s">
        <v>80</v>
      </c>
      <c r="H9" s="2" t="s">
        <v>81</v>
      </c>
      <c r="I9" s="2" t="s">
        <v>82</v>
      </c>
      <c r="J9" s="2" t="s">
        <v>39</v>
      </c>
      <c r="K9" s="2" t="s">
        <v>83</v>
      </c>
      <c r="L9" s="2" t="s">
        <v>84</v>
      </c>
      <c r="M9" s="2" t="s">
        <v>27</v>
      </c>
      <c r="N9" s="2" t="s">
        <v>85</v>
      </c>
      <c r="O9" s="2" t="s">
        <v>29</v>
      </c>
      <c r="P9" s="2"/>
    </row>
    <row r="10" customFormat="false" ht="35.05" hidden="false" customHeight="false" outlineLevel="0" collapsed="false">
      <c r="A10" s="2" t="s">
        <v>16</v>
      </c>
      <c r="B10" s="2" t="s">
        <v>17</v>
      </c>
      <c r="C10" s="2" t="s">
        <v>18</v>
      </c>
      <c r="D10" s="2" t="s">
        <v>19</v>
      </c>
      <c r="E10" s="2" t="s">
        <v>17</v>
      </c>
      <c r="F10" s="2" t="s">
        <v>86</v>
      </c>
      <c r="G10" s="2" t="s">
        <v>87</v>
      </c>
      <c r="H10" s="2" t="s">
        <v>88</v>
      </c>
      <c r="I10" s="2" t="s">
        <v>89</v>
      </c>
      <c r="J10" s="2" t="s">
        <v>90</v>
      </c>
      <c r="K10" s="2" t="s">
        <v>25</v>
      </c>
      <c r="L10" s="2" t="s">
        <v>91</v>
      </c>
      <c r="M10" s="2" t="s">
        <v>41</v>
      </c>
      <c r="N10" s="2" t="s">
        <v>92</v>
      </c>
      <c r="O10" s="2" t="s">
        <v>29</v>
      </c>
      <c r="P10" s="2" t="s">
        <v>93</v>
      </c>
    </row>
    <row r="11" customFormat="false" ht="23.85" hidden="false" customHeight="false" outlineLevel="0" collapsed="false">
      <c r="A11" s="2" t="s">
        <v>94</v>
      </c>
      <c r="B11" s="2" t="s">
        <v>17</v>
      </c>
      <c r="C11" s="2" t="s">
        <v>58</v>
      </c>
      <c r="D11" s="2" t="s">
        <v>19</v>
      </c>
      <c r="E11" s="2" t="s">
        <v>17</v>
      </c>
      <c r="F11" s="2" t="s">
        <v>95</v>
      </c>
      <c r="G11" s="2" t="s">
        <v>96</v>
      </c>
      <c r="H11" s="2" t="s">
        <v>97</v>
      </c>
      <c r="I11" s="2" t="s">
        <v>98</v>
      </c>
      <c r="J11" s="2" t="s">
        <v>39</v>
      </c>
      <c r="K11" s="2" t="s">
        <v>25</v>
      </c>
      <c r="L11" s="2" t="s">
        <v>99</v>
      </c>
      <c r="M11" s="2" t="s">
        <v>100</v>
      </c>
      <c r="N11" s="2" t="s">
        <v>101</v>
      </c>
      <c r="O11" s="2" t="s">
        <v>29</v>
      </c>
      <c r="P11" s="2"/>
    </row>
    <row r="12" customFormat="false" ht="68.65" hidden="false" customHeight="false" outlineLevel="0" collapsed="false">
      <c r="A12" s="2" t="s">
        <v>94</v>
      </c>
      <c r="B12" s="2" t="s">
        <v>43</v>
      </c>
      <c r="C12" s="2" t="s">
        <v>102</v>
      </c>
      <c r="D12" s="2" t="s">
        <v>33</v>
      </c>
      <c r="E12" s="2" t="s">
        <v>78</v>
      </c>
      <c r="F12" s="2" t="s">
        <v>103</v>
      </c>
      <c r="G12" s="2" t="s">
        <v>104</v>
      </c>
      <c r="H12" s="2" t="s">
        <v>105</v>
      </c>
      <c r="I12" s="2" t="s">
        <v>106</v>
      </c>
      <c r="J12" s="2" t="s">
        <v>24</v>
      </c>
      <c r="K12" s="2" t="s">
        <v>107</v>
      </c>
      <c r="L12" s="2" t="s">
        <v>108</v>
      </c>
      <c r="M12" s="2" t="s">
        <v>27</v>
      </c>
      <c r="N12" s="2" t="s">
        <v>109</v>
      </c>
      <c r="O12" s="2" t="s">
        <v>29</v>
      </c>
      <c r="P12" s="2" t="s">
        <v>110</v>
      </c>
    </row>
    <row r="13" customFormat="false" ht="23.85" hidden="false" customHeight="false" outlineLevel="0" collapsed="false">
      <c r="A13" s="2" t="s">
        <v>94</v>
      </c>
      <c r="B13" s="2" t="s">
        <v>51</v>
      </c>
      <c r="C13" s="2" t="s">
        <v>111</v>
      </c>
      <c r="D13" s="2" t="s">
        <v>33</v>
      </c>
      <c r="E13" s="2" t="s">
        <v>112</v>
      </c>
      <c r="F13" s="2" t="s">
        <v>113</v>
      </c>
      <c r="G13" s="2" t="s">
        <v>114</v>
      </c>
      <c r="H13" s="2" t="s">
        <v>115</v>
      </c>
      <c r="I13" s="2" t="s">
        <v>82</v>
      </c>
      <c r="J13" s="2" t="s">
        <v>39</v>
      </c>
      <c r="K13" s="2" t="s">
        <v>25</v>
      </c>
      <c r="L13" s="2" t="s">
        <v>116</v>
      </c>
      <c r="M13" s="2" t="s">
        <v>27</v>
      </c>
      <c r="N13" s="2" t="s">
        <v>117</v>
      </c>
      <c r="O13" s="2" t="s">
        <v>29</v>
      </c>
      <c r="P13" s="2"/>
    </row>
    <row r="14" customFormat="false" ht="23.85" hidden="false" customHeight="false" outlineLevel="0" collapsed="false">
      <c r="A14" s="2" t="s">
        <v>94</v>
      </c>
      <c r="B14" s="2" t="s">
        <v>118</v>
      </c>
      <c r="C14" s="2" t="s">
        <v>119</v>
      </c>
      <c r="D14" s="2" t="s">
        <v>120</v>
      </c>
      <c r="E14" s="2" t="s">
        <v>78</v>
      </c>
      <c r="F14" s="2" t="s">
        <v>121</v>
      </c>
      <c r="G14" s="2" t="s">
        <v>122</v>
      </c>
      <c r="H14" s="2" t="s">
        <v>81</v>
      </c>
      <c r="I14" s="2" t="s">
        <v>82</v>
      </c>
      <c r="J14" s="2" t="s">
        <v>39</v>
      </c>
      <c r="K14" s="2" t="s">
        <v>123</v>
      </c>
      <c r="L14" s="2" t="s">
        <v>124</v>
      </c>
      <c r="M14" s="2" t="s">
        <v>27</v>
      </c>
      <c r="N14" s="2" t="s">
        <v>125</v>
      </c>
      <c r="O14" s="2" t="s">
        <v>29</v>
      </c>
      <c r="P14" s="2"/>
    </row>
    <row r="15" customFormat="false" ht="35.05" hidden="false" customHeight="false" outlineLevel="0" collapsed="false">
      <c r="A15" s="2" t="s">
        <v>94</v>
      </c>
      <c r="B15" s="2" t="s">
        <v>43</v>
      </c>
      <c r="C15" s="2" t="s">
        <v>126</v>
      </c>
      <c r="D15" s="2" t="s">
        <v>45</v>
      </c>
      <c r="E15" s="2" t="s">
        <v>78</v>
      </c>
      <c r="F15" s="2" t="s">
        <v>127</v>
      </c>
      <c r="G15" s="2" t="s">
        <v>128</v>
      </c>
      <c r="H15" s="2" t="s">
        <v>81</v>
      </c>
      <c r="I15" s="2" t="s">
        <v>57</v>
      </c>
      <c r="J15" s="2" t="s">
        <v>39</v>
      </c>
      <c r="K15" s="2" t="s">
        <v>123</v>
      </c>
      <c r="L15" s="2" t="s">
        <v>129</v>
      </c>
      <c r="M15" s="2" t="s">
        <v>64</v>
      </c>
      <c r="N15" s="2" t="s">
        <v>130</v>
      </c>
      <c r="O15" s="2" t="s">
        <v>29</v>
      </c>
      <c r="P15" s="2"/>
    </row>
    <row r="16" customFormat="false" ht="35.05" hidden="false" customHeight="false" outlineLevel="0" collapsed="false">
      <c r="A16" s="2" t="s">
        <v>94</v>
      </c>
      <c r="B16" s="2" t="s">
        <v>43</v>
      </c>
      <c r="C16" s="2" t="s">
        <v>131</v>
      </c>
      <c r="D16" s="2" t="s">
        <v>45</v>
      </c>
      <c r="E16" s="2" t="s">
        <v>78</v>
      </c>
      <c r="F16" s="2" t="s">
        <v>132</v>
      </c>
      <c r="G16" s="2" t="s">
        <v>133</v>
      </c>
      <c r="H16" s="2" t="s">
        <v>134</v>
      </c>
      <c r="I16" s="2" t="s">
        <v>135</v>
      </c>
      <c r="J16" s="2" t="s">
        <v>39</v>
      </c>
      <c r="K16" s="2" t="s">
        <v>123</v>
      </c>
      <c r="L16" s="2" t="s">
        <v>129</v>
      </c>
      <c r="M16" s="2" t="s">
        <v>64</v>
      </c>
      <c r="N16" s="2" t="s">
        <v>136</v>
      </c>
      <c r="O16" s="2" t="s">
        <v>29</v>
      </c>
      <c r="P16" s="2"/>
    </row>
    <row r="17" customFormat="false" ht="35.05" hidden="false" customHeight="false" outlineLevel="0" collapsed="false">
      <c r="A17" s="2" t="s">
        <v>94</v>
      </c>
      <c r="B17" s="2" t="s">
        <v>118</v>
      </c>
      <c r="C17" s="2" t="s">
        <v>137</v>
      </c>
      <c r="D17" s="2" t="s">
        <v>120</v>
      </c>
      <c r="E17" s="2" t="s">
        <v>78</v>
      </c>
      <c r="F17" s="2" t="s">
        <v>138</v>
      </c>
      <c r="G17" s="2" t="s">
        <v>139</v>
      </c>
      <c r="H17" s="2" t="s">
        <v>105</v>
      </c>
      <c r="I17" s="2" t="s">
        <v>140</v>
      </c>
      <c r="J17" s="2" t="s">
        <v>39</v>
      </c>
      <c r="K17" s="2" t="s">
        <v>123</v>
      </c>
      <c r="L17" s="2" t="s">
        <v>141</v>
      </c>
      <c r="M17" s="2" t="s">
        <v>64</v>
      </c>
      <c r="N17" s="2" t="s">
        <v>142</v>
      </c>
      <c r="O17" s="2" t="s">
        <v>29</v>
      </c>
      <c r="P17" s="2"/>
    </row>
    <row r="18" customFormat="false" ht="57.45" hidden="false" customHeight="false" outlineLevel="0" collapsed="false">
      <c r="A18" s="2" t="s">
        <v>94</v>
      </c>
      <c r="B18" s="2" t="s">
        <v>17</v>
      </c>
      <c r="C18" s="2" t="s">
        <v>58</v>
      </c>
      <c r="D18" s="2" t="s">
        <v>19</v>
      </c>
      <c r="E18" s="2" t="s">
        <v>17</v>
      </c>
      <c r="F18" s="2" t="s">
        <v>143</v>
      </c>
      <c r="G18" s="2" t="s">
        <v>144</v>
      </c>
      <c r="H18" s="2" t="s">
        <v>145</v>
      </c>
      <c r="I18" s="2" t="s">
        <v>146</v>
      </c>
      <c r="J18" s="2" t="s">
        <v>90</v>
      </c>
      <c r="K18" s="2" t="s">
        <v>25</v>
      </c>
      <c r="L18" s="2" t="s">
        <v>147</v>
      </c>
      <c r="M18" s="2" t="s">
        <v>148</v>
      </c>
      <c r="N18" s="2" t="s">
        <v>149</v>
      </c>
      <c r="O18" s="2" t="s">
        <v>29</v>
      </c>
      <c r="P18" s="2" t="s">
        <v>150</v>
      </c>
    </row>
    <row r="19" customFormat="false" ht="102.2" hidden="false" customHeight="false" outlineLevel="0" collapsed="false">
      <c r="A19" s="2" t="s">
        <v>94</v>
      </c>
      <c r="B19" s="2" t="s">
        <v>51</v>
      </c>
      <c r="C19" s="2" t="s">
        <v>151</v>
      </c>
      <c r="D19" s="2" t="s">
        <v>71</v>
      </c>
      <c r="E19" s="2" t="s">
        <v>34</v>
      </c>
      <c r="F19" s="2" t="s">
        <v>152</v>
      </c>
      <c r="G19" s="2" t="s">
        <v>153</v>
      </c>
      <c r="H19" s="2" t="s">
        <v>154</v>
      </c>
      <c r="I19" s="2" t="s">
        <v>155</v>
      </c>
      <c r="J19" s="2" t="s">
        <v>156</v>
      </c>
      <c r="K19" s="2" t="s">
        <v>25</v>
      </c>
      <c r="L19" s="2" t="s">
        <v>157</v>
      </c>
      <c r="M19" s="2" t="s">
        <v>27</v>
      </c>
      <c r="N19" s="2" t="s">
        <v>158</v>
      </c>
      <c r="O19" s="2" t="s">
        <v>29</v>
      </c>
      <c r="P19" s="2"/>
    </row>
    <row r="20" customFormat="false" ht="147" hidden="false" customHeight="false" outlineLevel="0" collapsed="false">
      <c r="A20" s="2" t="s">
        <v>94</v>
      </c>
      <c r="B20" s="2" t="s">
        <v>51</v>
      </c>
      <c r="C20" s="2" t="s">
        <v>159</v>
      </c>
      <c r="D20" s="2" t="s">
        <v>71</v>
      </c>
      <c r="E20" s="2" t="s">
        <v>34</v>
      </c>
      <c r="F20" s="2" t="s">
        <v>160</v>
      </c>
      <c r="G20" s="2" t="s">
        <v>161</v>
      </c>
      <c r="H20" s="2" t="s">
        <v>162</v>
      </c>
      <c r="I20" s="2" t="s">
        <v>163</v>
      </c>
      <c r="J20" s="2" t="s">
        <v>164</v>
      </c>
      <c r="K20" s="2" t="s">
        <v>25</v>
      </c>
      <c r="L20" s="2" t="s">
        <v>165</v>
      </c>
      <c r="M20" s="2" t="s">
        <v>27</v>
      </c>
      <c r="N20" s="2" t="s">
        <v>166</v>
      </c>
      <c r="O20" s="2" t="s">
        <v>29</v>
      </c>
      <c r="P20" s="2"/>
    </row>
    <row r="21" customFormat="false" ht="23.85" hidden="false" customHeight="false" outlineLevel="0" collapsed="false">
      <c r="A21" s="2" t="s">
        <v>94</v>
      </c>
      <c r="B21" s="2" t="s">
        <v>43</v>
      </c>
      <c r="C21" s="2" t="s">
        <v>167</v>
      </c>
      <c r="D21" s="2" t="s">
        <v>45</v>
      </c>
      <c r="E21" s="2" t="s">
        <v>78</v>
      </c>
      <c r="F21" s="2" t="s">
        <v>168</v>
      </c>
      <c r="G21" s="2" t="s">
        <v>169</v>
      </c>
      <c r="H21" s="2" t="s">
        <v>170</v>
      </c>
      <c r="I21" s="2" t="s">
        <v>69</v>
      </c>
      <c r="J21" s="2" t="s">
        <v>164</v>
      </c>
      <c r="K21" s="2" t="s">
        <v>123</v>
      </c>
      <c r="L21" s="2" t="s">
        <v>171</v>
      </c>
      <c r="M21" s="2" t="s">
        <v>27</v>
      </c>
      <c r="N21" s="2" t="s">
        <v>172</v>
      </c>
      <c r="O21" s="2" t="s">
        <v>29</v>
      </c>
      <c r="P21" s="2"/>
    </row>
    <row r="22" customFormat="false" ht="23.85" hidden="false" customHeight="false" outlineLevel="0" collapsed="false">
      <c r="A22" s="2" t="s">
        <v>94</v>
      </c>
      <c r="B22" s="2" t="s">
        <v>43</v>
      </c>
      <c r="C22" s="2" t="s">
        <v>173</v>
      </c>
      <c r="D22" s="2" t="s">
        <v>45</v>
      </c>
      <c r="E22" s="2" t="s">
        <v>78</v>
      </c>
      <c r="F22" s="2" t="s">
        <v>174</v>
      </c>
      <c r="G22" s="2" t="s">
        <v>175</v>
      </c>
      <c r="H22" s="2" t="s">
        <v>81</v>
      </c>
      <c r="I22" s="2" t="s">
        <v>163</v>
      </c>
      <c r="J22" s="2" t="s">
        <v>164</v>
      </c>
      <c r="K22" s="2" t="s">
        <v>123</v>
      </c>
      <c r="L22" s="2" t="s">
        <v>141</v>
      </c>
      <c r="M22" s="2" t="s">
        <v>64</v>
      </c>
      <c r="N22" s="2" t="s">
        <v>176</v>
      </c>
      <c r="O22" s="2" t="s">
        <v>29</v>
      </c>
      <c r="P22" s="2" t="s">
        <v>177</v>
      </c>
    </row>
    <row r="23" customFormat="false" ht="23.85" hidden="false" customHeight="false" outlineLevel="0" collapsed="false">
      <c r="A23" s="2" t="s">
        <v>94</v>
      </c>
      <c r="B23" s="2" t="s">
        <v>43</v>
      </c>
      <c r="C23" s="2" t="s">
        <v>167</v>
      </c>
      <c r="D23" s="2" t="s">
        <v>45</v>
      </c>
      <c r="E23" s="2" t="s">
        <v>78</v>
      </c>
      <c r="F23" s="2" t="s">
        <v>178</v>
      </c>
      <c r="G23" s="2" t="s">
        <v>179</v>
      </c>
      <c r="H23" s="2" t="s">
        <v>170</v>
      </c>
      <c r="I23" s="2" t="s">
        <v>163</v>
      </c>
      <c r="J23" s="2" t="s">
        <v>164</v>
      </c>
      <c r="K23" s="2" t="s">
        <v>123</v>
      </c>
      <c r="L23" s="2" t="s">
        <v>180</v>
      </c>
      <c r="M23" s="2" t="s">
        <v>27</v>
      </c>
      <c r="N23" s="2" t="s">
        <v>181</v>
      </c>
      <c r="O23" s="2" t="s">
        <v>29</v>
      </c>
      <c r="P23" s="2" t="s">
        <v>182</v>
      </c>
    </row>
    <row r="24" customFormat="false" ht="46.25" hidden="false" customHeight="false" outlineLevel="0" collapsed="false">
      <c r="A24" s="2" t="s">
        <v>94</v>
      </c>
      <c r="B24" s="2" t="s">
        <v>118</v>
      </c>
      <c r="C24" s="2" t="s">
        <v>119</v>
      </c>
      <c r="D24" s="2" t="s">
        <v>120</v>
      </c>
      <c r="E24" s="2" t="s">
        <v>78</v>
      </c>
      <c r="F24" s="2" t="s">
        <v>183</v>
      </c>
      <c r="G24" s="2" t="s">
        <v>184</v>
      </c>
      <c r="H24" s="2" t="s">
        <v>170</v>
      </c>
      <c r="I24" s="2" t="s">
        <v>89</v>
      </c>
      <c r="J24" s="2" t="s">
        <v>164</v>
      </c>
      <c r="K24" s="2" t="s">
        <v>123</v>
      </c>
      <c r="L24" s="2" t="s">
        <v>185</v>
      </c>
      <c r="M24" s="2" t="s">
        <v>27</v>
      </c>
      <c r="N24" s="2" t="s">
        <v>186</v>
      </c>
      <c r="O24" s="2" t="s">
        <v>29</v>
      </c>
      <c r="P24" s="2" t="s">
        <v>182</v>
      </c>
    </row>
    <row r="25" customFormat="false" ht="23.85" hidden="false" customHeight="false" outlineLevel="0" collapsed="false">
      <c r="A25" s="2" t="s">
        <v>94</v>
      </c>
      <c r="B25" s="2" t="s">
        <v>118</v>
      </c>
      <c r="C25" s="2" t="s">
        <v>187</v>
      </c>
      <c r="D25" s="2" t="s">
        <v>120</v>
      </c>
      <c r="E25" s="2" t="s">
        <v>78</v>
      </c>
      <c r="F25" s="2" t="s">
        <v>188</v>
      </c>
      <c r="G25" s="2" t="s">
        <v>189</v>
      </c>
      <c r="H25" s="2" t="s">
        <v>190</v>
      </c>
      <c r="I25" s="2" t="s">
        <v>140</v>
      </c>
      <c r="J25" s="2" t="s">
        <v>164</v>
      </c>
      <c r="K25" s="2" t="s">
        <v>123</v>
      </c>
      <c r="L25" s="2" t="s">
        <v>129</v>
      </c>
      <c r="M25" s="2" t="s">
        <v>27</v>
      </c>
      <c r="N25" s="2" t="s">
        <v>191</v>
      </c>
      <c r="O25" s="2" t="s">
        <v>29</v>
      </c>
      <c r="P25" s="2"/>
    </row>
    <row r="26" customFormat="false" ht="46.25" hidden="false" customHeight="false" outlineLevel="0" collapsed="false">
      <c r="A26" s="2" t="s">
        <v>94</v>
      </c>
      <c r="B26" s="2" t="s">
        <v>118</v>
      </c>
      <c r="C26" s="2" t="s">
        <v>187</v>
      </c>
      <c r="D26" s="2" t="s">
        <v>120</v>
      </c>
      <c r="E26" s="2" t="s">
        <v>78</v>
      </c>
      <c r="F26" s="2" t="s">
        <v>192</v>
      </c>
      <c r="G26" s="2" t="s">
        <v>193</v>
      </c>
      <c r="H26" s="2" t="s">
        <v>194</v>
      </c>
      <c r="I26" s="2" t="s">
        <v>57</v>
      </c>
      <c r="J26" s="2" t="s">
        <v>164</v>
      </c>
      <c r="K26" s="2" t="s">
        <v>123</v>
      </c>
      <c r="L26" s="2" t="s">
        <v>195</v>
      </c>
      <c r="M26" s="2" t="s">
        <v>64</v>
      </c>
      <c r="N26" s="2" t="s">
        <v>196</v>
      </c>
      <c r="O26" s="2" t="s">
        <v>29</v>
      </c>
      <c r="P26" s="2" t="s">
        <v>197</v>
      </c>
    </row>
    <row r="27" customFormat="false" ht="23.85" hidden="false" customHeight="false" outlineLevel="0" collapsed="false">
      <c r="A27" s="2" t="s">
        <v>94</v>
      </c>
      <c r="B27" s="2" t="s">
        <v>198</v>
      </c>
      <c r="C27" s="2" t="s">
        <v>199</v>
      </c>
      <c r="D27" s="2" t="s">
        <v>200</v>
      </c>
      <c r="E27" s="2" t="s">
        <v>78</v>
      </c>
      <c r="F27" s="2" t="s">
        <v>201</v>
      </c>
      <c r="G27" s="2" t="s">
        <v>202</v>
      </c>
      <c r="H27" s="2" t="s">
        <v>81</v>
      </c>
      <c r="I27" s="2" t="s">
        <v>57</v>
      </c>
      <c r="J27" s="2" t="s">
        <v>164</v>
      </c>
      <c r="K27" s="2" t="s">
        <v>123</v>
      </c>
      <c r="L27" s="2" t="s">
        <v>141</v>
      </c>
      <c r="M27" s="2" t="s">
        <v>64</v>
      </c>
      <c r="N27" s="2" t="s">
        <v>203</v>
      </c>
      <c r="O27" s="2" t="s">
        <v>29</v>
      </c>
      <c r="P27" s="2"/>
    </row>
    <row r="28" customFormat="false" ht="102.2" hidden="false" customHeight="false" outlineLevel="0" collapsed="false">
      <c r="A28" s="3" t="s">
        <v>94</v>
      </c>
      <c r="B28" s="3" t="s">
        <v>198</v>
      </c>
      <c r="C28" s="3" t="s">
        <v>204</v>
      </c>
      <c r="D28" s="3" t="s">
        <v>200</v>
      </c>
      <c r="E28" s="3" t="s">
        <v>78</v>
      </c>
      <c r="F28" s="3" t="s">
        <v>205</v>
      </c>
      <c r="G28" s="3" t="s">
        <v>206</v>
      </c>
      <c r="H28" s="3" t="s">
        <v>81</v>
      </c>
      <c r="I28" s="3" t="s">
        <v>69</v>
      </c>
      <c r="J28" s="3" t="s">
        <v>164</v>
      </c>
      <c r="K28" s="3" t="s">
        <v>123</v>
      </c>
      <c r="L28" s="3" t="s">
        <v>207</v>
      </c>
      <c r="M28" s="3" t="s">
        <v>64</v>
      </c>
      <c r="N28" s="3" t="s">
        <v>208</v>
      </c>
      <c r="O28" s="3" t="s">
        <v>29</v>
      </c>
      <c r="P28" s="3" t="s">
        <v>209</v>
      </c>
    </row>
    <row r="29" customFormat="false" ht="23.85" hidden="false" customHeight="false" outlineLevel="0" collapsed="false">
      <c r="A29" s="2" t="s">
        <v>94</v>
      </c>
      <c r="B29" s="2" t="s">
        <v>17</v>
      </c>
      <c r="C29" s="2" t="s">
        <v>58</v>
      </c>
      <c r="D29" s="2" t="s">
        <v>19</v>
      </c>
      <c r="E29" s="2" t="s">
        <v>17</v>
      </c>
      <c r="F29" s="2" t="s">
        <v>210</v>
      </c>
      <c r="G29" s="2" t="s">
        <v>211</v>
      </c>
      <c r="H29" s="2" t="s">
        <v>212</v>
      </c>
      <c r="I29" s="2" t="s">
        <v>163</v>
      </c>
      <c r="J29" s="2" t="s">
        <v>164</v>
      </c>
      <c r="K29" s="2" t="s">
        <v>25</v>
      </c>
      <c r="L29" s="2" t="s">
        <v>99</v>
      </c>
      <c r="M29" s="2" t="s">
        <v>100</v>
      </c>
      <c r="N29" s="2" t="s">
        <v>213</v>
      </c>
      <c r="O29" s="2" t="s">
        <v>29</v>
      </c>
      <c r="P29" s="2"/>
    </row>
    <row r="30" customFormat="false" ht="46.25" hidden="false" customHeight="false" outlineLevel="0" collapsed="false">
      <c r="A30" s="2" t="s">
        <v>94</v>
      </c>
      <c r="B30" s="2" t="s">
        <v>43</v>
      </c>
      <c r="C30" s="2" t="s">
        <v>214</v>
      </c>
      <c r="D30" s="2" t="s">
        <v>45</v>
      </c>
      <c r="E30" s="2" t="s">
        <v>78</v>
      </c>
      <c r="F30" s="2" t="s">
        <v>215</v>
      </c>
      <c r="G30" s="2" t="s">
        <v>216</v>
      </c>
      <c r="H30" s="2" t="s">
        <v>194</v>
      </c>
      <c r="I30" s="2" t="s">
        <v>163</v>
      </c>
      <c r="J30" s="2" t="s">
        <v>164</v>
      </c>
      <c r="K30" s="2" t="s">
        <v>123</v>
      </c>
      <c r="L30" s="2" t="s">
        <v>129</v>
      </c>
      <c r="M30" s="2" t="s">
        <v>64</v>
      </c>
      <c r="N30" s="2" t="s">
        <v>217</v>
      </c>
      <c r="O30" s="2" t="s">
        <v>29</v>
      </c>
      <c r="P30" s="2"/>
    </row>
    <row r="31" customFormat="false" ht="35.05" hidden="false" customHeight="false" outlineLevel="0" collapsed="false">
      <c r="A31" s="2" t="s">
        <v>94</v>
      </c>
      <c r="B31" s="2" t="s">
        <v>31</v>
      </c>
      <c r="C31" s="2" t="s">
        <v>102</v>
      </c>
      <c r="D31" s="2" t="s">
        <v>33</v>
      </c>
      <c r="E31" s="2" t="s">
        <v>78</v>
      </c>
      <c r="F31" s="2" t="s">
        <v>218</v>
      </c>
      <c r="G31" s="2" t="s">
        <v>219</v>
      </c>
      <c r="H31" s="2" t="s">
        <v>170</v>
      </c>
      <c r="I31" s="2" t="s">
        <v>57</v>
      </c>
      <c r="J31" s="2" t="s">
        <v>164</v>
      </c>
      <c r="K31" s="2" t="s">
        <v>123</v>
      </c>
      <c r="L31" s="2" t="s">
        <v>220</v>
      </c>
      <c r="M31" s="2" t="s">
        <v>27</v>
      </c>
      <c r="N31" s="2" t="s">
        <v>221</v>
      </c>
      <c r="O31" s="2" t="s">
        <v>29</v>
      </c>
      <c r="P31" s="2" t="s">
        <v>222</v>
      </c>
    </row>
    <row r="32" customFormat="false" ht="23.85" hidden="false" customHeight="false" outlineLevel="0" collapsed="false">
      <c r="A32" s="2" t="s">
        <v>94</v>
      </c>
      <c r="B32" s="2" t="s">
        <v>43</v>
      </c>
      <c r="C32" s="2" t="s">
        <v>223</v>
      </c>
      <c r="D32" s="2" t="s">
        <v>45</v>
      </c>
      <c r="E32" s="2" t="s">
        <v>78</v>
      </c>
      <c r="F32" s="2" t="s">
        <v>224</v>
      </c>
      <c r="G32" s="2" t="s">
        <v>225</v>
      </c>
      <c r="H32" s="2" t="s">
        <v>81</v>
      </c>
      <c r="I32" s="2" t="s">
        <v>106</v>
      </c>
      <c r="J32" s="2" t="s">
        <v>164</v>
      </c>
      <c r="K32" s="2" t="s">
        <v>226</v>
      </c>
      <c r="L32" s="2" t="s">
        <v>141</v>
      </c>
      <c r="M32" s="2" t="s">
        <v>64</v>
      </c>
      <c r="N32" s="2" t="s">
        <v>227</v>
      </c>
      <c r="O32" s="2" t="s">
        <v>29</v>
      </c>
      <c r="P32" s="2"/>
    </row>
    <row r="33" customFormat="false" ht="23.85" hidden="false" customHeight="false" outlineLevel="0" collapsed="false">
      <c r="A33" s="2" t="s">
        <v>94</v>
      </c>
      <c r="B33" s="2" t="s">
        <v>17</v>
      </c>
      <c r="C33" s="2" t="s">
        <v>228</v>
      </c>
      <c r="D33" s="2" t="s">
        <v>19</v>
      </c>
      <c r="E33" s="2" t="s">
        <v>17</v>
      </c>
      <c r="F33" s="2" t="s">
        <v>229</v>
      </c>
      <c r="G33" s="2" t="s">
        <v>230</v>
      </c>
      <c r="H33" s="2" t="s">
        <v>231</v>
      </c>
      <c r="I33" s="2" t="s">
        <v>69</v>
      </c>
      <c r="J33" s="2" t="s">
        <v>164</v>
      </c>
      <c r="K33" s="2" t="s">
        <v>25</v>
      </c>
      <c r="L33" s="2" t="s">
        <v>232</v>
      </c>
      <c r="M33" s="2" t="s">
        <v>100</v>
      </c>
      <c r="N33" s="2" t="s">
        <v>233</v>
      </c>
      <c r="O33" s="2" t="s">
        <v>29</v>
      </c>
      <c r="P33" s="2"/>
    </row>
    <row r="34" customFormat="false" ht="35.05" hidden="false" customHeight="false" outlineLevel="0" collapsed="false">
      <c r="A34" s="2" t="s">
        <v>94</v>
      </c>
      <c r="B34" s="2" t="s">
        <v>43</v>
      </c>
      <c r="C34" s="2" t="s">
        <v>234</v>
      </c>
      <c r="D34" s="2" t="s">
        <v>45</v>
      </c>
      <c r="E34" s="2" t="s">
        <v>78</v>
      </c>
      <c r="F34" s="2" t="s">
        <v>235</v>
      </c>
      <c r="G34" s="2" t="s">
        <v>236</v>
      </c>
      <c r="H34" s="2" t="s">
        <v>81</v>
      </c>
      <c r="I34" s="2" t="s">
        <v>237</v>
      </c>
      <c r="J34" s="2" t="s">
        <v>164</v>
      </c>
      <c r="K34" s="2" t="s">
        <v>238</v>
      </c>
      <c r="L34" s="2" t="s">
        <v>141</v>
      </c>
      <c r="M34" s="2" t="s">
        <v>64</v>
      </c>
      <c r="N34" s="2" t="s">
        <v>239</v>
      </c>
      <c r="O34" s="2" t="s">
        <v>29</v>
      </c>
      <c r="P34" s="2"/>
    </row>
    <row r="35" customFormat="false" ht="35.05" hidden="false" customHeight="false" outlineLevel="0" collapsed="false">
      <c r="A35" s="2" t="s">
        <v>94</v>
      </c>
      <c r="B35" s="2" t="s">
        <v>198</v>
      </c>
      <c r="C35" s="2" t="s">
        <v>240</v>
      </c>
      <c r="D35" s="2" t="s">
        <v>241</v>
      </c>
      <c r="E35" s="2" t="s">
        <v>78</v>
      </c>
      <c r="F35" s="2" t="s">
        <v>242</v>
      </c>
      <c r="G35" s="2" t="s">
        <v>243</v>
      </c>
      <c r="H35" s="2" t="s">
        <v>81</v>
      </c>
      <c r="I35" s="2" t="s">
        <v>140</v>
      </c>
      <c r="J35" s="2" t="s">
        <v>164</v>
      </c>
      <c r="K35" s="2" t="s">
        <v>123</v>
      </c>
      <c r="L35" s="2" t="s">
        <v>141</v>
      </c>
      <c r="M35" s="2" t="s">
        <v>64</v>
      </c>
      <c r="N35" s="2" t="s">
        <v>244</v>
      </c>
      <c r="O35" s="2" t="s">
        <v>29</v>
      </c>
      <c r="P35" s="2"/>
    </row>
    <row r="36" customFormat="false" ht="57.45" hidden="false" customHeight="false" outlineLevel="0" collapsed="false">
      <c r="A36" s="2" t="s">
        <v>245</v>
      </c>
      <c r="B36" s="2" t="s">
        <v>17</v>
      </c>
      <c r="C36" s="2" t="s">
        <v>58</v>
      </c>
      <c r="D36" s="2" t="s">
        <v>19</v>
      </c>
      <c r="E36" s="2" t="s">
        <v>17</v>
      </c>
      <c r="F36" s="2" t="s">
        <v>246</v>
      </c>
      <c r="G36" s="2" t="s">
        <v>247</v>
      </c>
      <c r="H36" s="2" t="s">
        <v>248</v>
      </c>
      <c r="I36" s="2" t="s">
        <v>249</v>
      </c>
      <c r="J36" s="2" t="s">
        <v>250</v>
      </c>
      <c r="K36" s="2"/>
      <c r="L36" s="2" t="s">
        <v>251</v>
      </c>
      <c r="M36" s="2" t="s">
        <v>100</v>
      </c>
      <c r="N36" s="2" t="s">
        <v>252</v>
      </c>
      <c r="O36" s="2" t="s">
        <v>29</v>
      </c>
      <c r="P36" s="2" t="s">
        <v>253</v>
      </c>
    </row>
    <row r="37" customFormat="false" ht="46.25" hidden="false" customHeight="false" outlineLevel="0" collapsed="false">
      <c r="A37" s="2" t="s">
        <v>245</v>
      </c>
      <c r="B37" s="2" t="s">
        <v>17</v>
      </c>
      <c r="C37" s="2" t="s">
        <v>58</v>
      </c>
      <c r="D37" s="2" t="s">
        <v>19</v>
      </c>
      <c r="E37" s="2" t="s">
        <v>17</v>
      </c>
      <c r="F37" s="2" t="s">
        <v>254</v>
      </c>
      <c r="G37" s="2" t="s">
        <v>255</v>
      </c>
      <c r="H37" s="2" t="s">
        <v>256</v>
      </c>
      <c r="I37" s="2" t="s">
        <v>69</v>
      </c>
      <c r="J37" s="2" t="s">
        <v>250</v>
      </c>
      <c r="K37" s="2"/>
      <c r="L37" s="2" t="s">
        <v>257</v>
      </c>
      <c r="M37" s="2" t="s">
        <v>41</v>
      </c>
      <c r="N37" s="2" t="s">
        <v>258</v>
      </c>
      <c r="O37" s="2" t="s">
        <v>29</v>
      </c>
      <c r="P37" s="2"/>
    </row>
    <row r="38" customFormat="false" ht="57.45" hidden="false" customHeight="false" outlineLevel="0" collapsed="false">
      <c r="A38" s="2" t="s">
        <v>245</v>
      </c>
      <c r="B38" s="2" t="s">
        <v>17</v>
      </c>
      <c r="C38" s="2" t="s">
        <v>58</v>
      </c>
      <c r="D38" s="2" t="s">
        <v>19</v>
      </c>
      <c r="E38" s="2" t="s">
        <v>17</v>
      </c>
      <c r="F38" s="2" t="s">
        <v>259</v>
      </c>
      <c r="G38" s="2" t="s">
        <v>260</v>
      </c>
      <c r="H38" s="2" t="s">
        <v>261</v>
      </c>
      <c r="I38" s="2" t="s">
        <v>262</v>
      </c>
      <c r="J38" s="2" t="s">
        <v>250</v>
      </c>
      <c r="K38" s="2"/>
      <c r="L38" s="2" t="s">
        <v>257</v>
      </c>
      <c r="M38" s="2" t="s">
        <v>41</v>
      </c>
      <c r="N38" s="2" t="s">
        <v>258</v>
      </c>
      <c r="O38" s="2" t="s">
        <v>29</v>
      </c>
      <c r="P38" s="2"/>
    </row>
    <row r="39" customFormat="false" ht="46.25" hidden="false" customHeight="false" outlineLevel="0" collapsed="false">
      <c r="A39" s="2" t="s">
        <v>245</v>
      </c>
      <c r="B39" s="2" t="s">
        <v>17</v>
      </c>
      <c r="C39" s="2" t="s">
        <v>263</v>
      </c>
      <c r="D39" s="2" t="s">
        <v>19</v>
      </c>
      <c r="E39" s="2" t="s">
        <v>17</v>
      </c>
      <c r="F39" s="2" t="s">
        <v>264</v>
      </c>
      <c r="G39" s="2" t="s">
        <v>265</v>
      </c>
      <c r="H39" s="2" t="s">
        <v>266</v>
      </c>
      <c r="I39" s="2" t="s">
        <v>62</v>
      </c>
      <c r="J39" s="2" t="s">
        <v>250</v>
      </c>
      <c r="K39" s="2"/>
      <c r="L39" s="2" t="s">
        <v>267</v>
      </c>
      <c r="M39" s="2" t="s">
        <v>64</v>
      </c>
      <c r="N39" s="2" t="s">
        <v>268</v>
      </c>
      <c r="O39" s="2" t="s">
        <v>29</v>
      </c>
      <c r="P39" s="2"/>
    </row>
    <row r="40" customFormat="false" ht="46.25" hidden="false" customHeight="false" outlineLevel="0" collapsed="false">
      <c r="A40" s="2" t="s">
        <v>245</v>
      </c>
      <c r="B40" s="2" t="s">
        <v>17</v>
      </c>
      <c r="C40" s="2" t="s">
        <v>58</v>
      </c>
      <c r="D40" s="2" t="s">
        <v>19</v>
      </c>
      <c r="E40" s="2" t="s">
        <v>17</v>
      </c>
      <c r="F40" s="2" t="s">
        <v>269</v>
      </c>
      <c r="G40" s="2" t="s">
        <v>270</v>
      </c>
      <c r="H40" s="2" t="s">
        <v>271</v>
      </c>
      <c r="I40" s="2" t="s">
        <v>62</v>
      </c>
      <c r="J40" s="2" t="s">
        <v>250</v>
      </c>
      <c r="K40" s="2"/>
      <c r="L40" s="2" t="s">
        <v>272</v>
      </c>
      <c r="M40" s="2" t="s">
        <v>27</v>
      </c>
      <c r="N40" s="2" t="s">
        <v>273</v>
      </c>
      <c r="O40" s="2" t="s">
        <v>29</v>
      </c>
      <c r="P40" s="2"/>
    </row>
    <row r="41" customFormat="false" ht="46.25" hidden="false" customHeight="false" outlineLevel="0" collapsed="false">
      <c r="A41" s="4" t="s">
        <v>245</v>
      </c>
      <c r="B41" s="4" t="s">
        <v>17</v>
      </c>
      <c r="C41" s="4" t="s">
        <v>274</v>
      </c>
      <c r="D41" s="4" t="s">
        <v>19</v>
      </c>
      <c r="E41" s="4" t="s">
        <v>17</v>
      </c>
      <c r="F41" s="4" t="s">
        <v>275</v>
      </c>
      <c r="G41" s="4" t="s">
        <v>276</v>
      </c>
      <c r="H41" s="4" t="s">
        <v>248</v>
      </c>
      <c r="I41" s="4" t="s">
        <v>135</v>
      </c>
      <c r="J41" s="4" t="s">
        <v>250</v>
      </c>
      <c r="K41" s="4"/>
      <c r="L41" s="4" t="s">
        <v>277</v>
      </c>
      <c r="M41" s="4" t="s">
        <v>278</v>
      </c>
      <c r="N41" s="4" t="s">
        <v>279</v>
      </c>
      <c r="O41" s="4" t="s">
        <v>280</v>
      </c>
      <c r="P41" s="4" t="s">
        <v>281</v>
      </c>
    </row>
    <row r="42" customFormat="false" ht="57.45" hidden="false" customHeight="false" outlineLevel="0" collapsed="false">
      <c r="A42" s="2" t="s">
        <v>245</v>
      </c>
      <c r="B42" s="2" t="s">
        <v>17</v>
      </c>
      <c r="C42" s="2" t="s">
        <v>282</v>
      </c>
      <c r="D42" s="2" t="s">
        <v>19</v>
      </c>
      <c r="E42" s="2" t="s">
        <v>17</v>
      </c>
      <c r="F42" s="2" t="s">
        <v>283</v>
      </c>
      <c r="G42" s="2" t="s">
        <v>284</v>
      </c>
      <c r="H42" s="2" t="s">
        <v>285</v>
      </c>
      <c r="I42" s="2" t="s">
        <v>286</v>
      </c>
      <c r="J42" s="2" t="s">
        <v>250</v>
      </c>
      <c r="K42" s="2"/>
      <c r="L42" s="2" t="s">
        <v>287</v>
      </c>
      <c r="M42" s="2" t="s">
        <v>41</v>
      </c>
      <c r="N42" s="2" t="s">
        <v>288</v>
      </c>
      <c r="O42" s="2" t="s">
        <v>29</v>
      </c>
      <c r="P42" s="2" t="s">
        <v>289</v>
      </c>
    </row>
    <row r="43" customFormat="false" ht="46.25" hidden="false" customHeight="false" outlineLevel="0" collapsed="false">
      <c r="A43" s="2" t="s">
        <v>245</v>
      </c>
      <c r="B43" s="2" t="s">
        <v>51</v>
      </c>
      <c r="C43" s="2" t="s">
        <v>151</v>
      </c>
      <c r="D43" s="2" t="s">
        <v>71</v>
      </c>
      <c r="E43" s="2" t="s">
        <v>34</v>
      </c>
      <c r="F43" s="2" t="s">
        <v>290</v>
      </c>
      <c r="G43" s="2" t="s">
        <v>291</v>
      </c>
      <c r="H43" s="2" t="s">
        <v>292</v>
      </c>
      <c r="I43" s="2" t="s">
        <v>82</v>
      </c>
      <c r="J43" s="2" t="s">
        <v>250</v>
      </c>
      <c r="K43" s="2"/>
      <c r="L43" s="2" t="s">
        <v>293</v>
      </c>
      <c r="M43" s="2" t="s">
        <v>27</v>
      </c>
      <c r="N43" s="2" t="s">
        <v>294</v>
      </c>
      <c r="O43" s="2" t="s">
        <v>29</v>
      </c>
      <c r="P43" s="2"/>
    </row>
    <row r="44" customFormat="false" ht="35.05" hidden="false" customHeight="false" outlineLevel="0" collapsed="false">
      <c r="A44" s="2" t="s">
        <v>245</v>
      </c>
      <c r="B44" s="2" t="s">
        <v>51</v>
      </c>
      <c r="C44" s="2" t="s">
        <v>111</v>
      </c>
      <c r="D44" s="2" t="s">
        <v>33</v>
      </c>
      <c r="E44" s="2" t="s">
        <v>112</v>
      </c>
      <c r="F44" s="2" t="s">
        <v>295</v>
      </c>
      <c r="G44" s="2" t="s">
        <v>296</v>
      </c>
      <c r="H44" s="2" t="s">
        <v>297</v>
      </c>
      <c r="I44" s="2" t="s">
        <v>298</v>
      </c>
      <c r="J44" s="2" t="s">
        <v>250</v>
      </c>
      <c r="K44" s="2" t="s">
        <v>299</v>
      </c>
      <c r="L44" s="2" t="s">
        <v>293</v>
      </c>
      <c r="M44" s="2" t="s">
        <v>27</v>
      </c>
      <c r="N44" s="2" t="s">
        <v>300</v>
      </c>
      <c r="O44" s="2" t="s">
        <v>29</v>
      </c>
      <c r="P44" s="2" t="s">
        <v>301</v>
      </c>
    </row>
    <row r="45" customFormat="false" ht="46.25" hidden="false" customHeight="false" outlineLevel="0" collapsed="false">
      <c r="A45" s="2" t="s">
        <v>245</v>
      </c>
      <c r="B45" s="2" t="s">
        <v>51</v>
      </c>
      <c r="C45" s="2" t="s">
        <v>151</v>
      </c>
      <c r="D45" s="2" t="s">
        <v>71</v>
      </c>
      <c r="E45" s="2" t="s">
        <v>34</v>
      </c>
      <c r="F45" s="2" t="s">
        <v>302</v>
      </c>
      <c r="G45" s="2" t="s">
        <v>303</v>
      </c>
      <c r="H45" s="2" t="s">
        <v>304</v>
      </c>
      <c r="I45" s="2" t="s">
        <v>305</v>
      </c>
      <c r="J45" s="2" t="s">
        <v>250</v>
      </c>
      <c r="K45" s="2"/>
      <c r="L45" s="2" t="s">
        <v>306</v>
      </c>
      <c r="M45" s="2" t="s">
        <v>41</v>
      </c>
      <c r="N45" s="2" t="s">
        <v>307</v>
      </c>
      <c r="O45" s="2" t="s">
        <v>29</v>
      </c>
      <c r="P45" s="2"/>
    </row>
    <row r="46" customFormat="false" ht="35.05" hidden="false" customHeight="false" outlineLevel="0" collapsed="false">
      <c r="A46" s="2" t="s">
        <v>245</v>
      </c>
      <c r="B46" s="2" t="s">
        <v>51</v>
      </c>
      <c r="C46" s="2" t="s">
        <v>151</v>
      </c>
      <c r="D46" s="2" t="s">
        <v>71</v>
      </c>
      <c r="E46" s="2" t="s">
        <v>34</v>
      </c>
      <c r="F46" s="2" t="s">
        <v>308</v>
      </c>
      <c r="G46" s="2" t="s">
        <v>309</v>
      </c>
      <c r="H46" s="2" t="s">
        <v>292</v>
      </c>
      <c r="I46" s="2" t="s">
        <v>82</v>
      </c>
      <c r="J46" s="2" t="s">
        <v>250</v>
      </c>
      <c r="K46" s="2"/>
      <c r="L46" s="2" t="s">
        <v>310</v>
      </c>
      <c r="M46" s="2" t="s">
        <v>27</v>
      </c>
      <c r="N46" s="2" t="s">
        <v>311</v>
      </c>
      <c r="O46" s="2" t="s">
        <v>29</v>
      </c>
      <c r="P46" s="2"/>
    </row>
    <row r="47" customFormat="false" ht="35.05" hidden="false" customHeight="false" outlineLevel="0" collapsed="false">
      <c r="A47" s="4" t="s">
        <v>245</v>
      </c>
      <c r="B47" s="4" t="s">
        <v>51</v>
      </c>
      <c r="C47" s="4" t="s">
        <v>111</v>
      </c>
      <c r="D47" s="4" t="s">
        <v>33</v>
      </c>
      <c r="E47" s="4" t="s">
        <v>112</v>
      </c>
      <c r="F47" s="4" t="s">
        <v>312</v>
      </c>
      <c r="G47" s="4" t="s">
        <v>313</v>
      </c>
      <c r="H47" s="4" t="s">
        <v>314</v>
      </c>
      <c r="I47" s="4" t="s">
        <v>82</v>
      </c>
      <c r="J47" s="4" t="s">
        <v>250</v>
      </c>
      <c r="K47" s="4"/>
      <c r="L47" s="4" t="s">
        <v>315</v>
      </c>
      <c r="M47" s="4" t="s">
        <v>64</v>
      </c>
      <c r="N47" s="4" t="s">
        <v>316</v>
      </c>
      <c r="O47" s="4" t="s">
        <v>280</v>
      </c>
      <c r="P47" s="4" t="s">
        <v>317</v>
      </c>
    </row>
    <row r="48" customFormat="false" ht="35.05" hidden="false" customHeight="false" outlineLevel="0" collapsed="false">
      <c r="A48" s="4" t="s">
        <v>245</v>
      </c>
      <c r="B48" s="4" t="s">
        <v>51</v>
      </c>
      <c r="C48" s="4" t="s">
        <v>111</v>
      </c>
      <c r="D48" s="4" t="s">
        <v>33</v>
      </c>
      <c r="E48" s="4" t="s">
        <v>112</v>
      </c>
      <c r="F48" s="4" t="s">
        <v>318</v>
      </c>
      <c r="G48" s="4" t="s">
        <v>319</v>
      </c>
      <c r="H48" s="4" t="s">
        <v>314</v>
      </c>
      <c r="I48" s="4" t="s">
        <v>82</v>
      </c>
      <c r="J48" s="4" t="s">
        <v>250</v>
      </c>
      <c r="K48" s="4"/>
      <c r="L48" s="4" t="s">
        <v>315</v>
      </c>
      <c r="M48" s="4" t="s">
        <v>64</v>
      </c>
      <c r="N48" s="4" t="s">
        <v>316</v>
      </c>
      <c r="O48" s="4" t="s">
        <v>280</v>
      </c>
      <c r="P48" s="4"/>
    </row>
    <row r="49" customFormat="false" ht="35.05" hidden="false" customHeight="false" outlineLevel="0" collapsed="false">
      <c r="A49" s="4" t="s">
        <v>245</v>
      </c>
      <c r="B49" s="4" t="s">
        <v>51</v>
      </c>
      <c r="C49" s="4" t="s">
        <v>151</v>
      </c>
      <c r="D49" s="4" t="s">
        <v>71</v>
      </c>
      <c r="E49" s="4" t="s">
        <v>34</v>
      </c>
      <c r="F49" s="4" t="s">
        <v>320</v>
      </c>
      <c r="G49" s="4" t="s">
        <v>321</v>
      </c>
      <c r="H49" s="4" t="s">
        <v>292</v>
      </c>
      <c r="I49" s="4" t="s">
        <v>82</v>
      </c>
      <c r="J49" s="4" t="s">
        <v>250</v>
      </c>
      <c r="K49" s="4"/>
      <c r="L49" s="4" t="s">
        <v>322</v>
      </c>
      <c r="M49" s="4" t="s">
        <v>64</v>
      </c>
      <c r="N49" s="4" t="s">
        <v>323</v>
      </c>
      <c r="O49" s="4" t="s">
        <v>280</v>
      </c>
      <c r="P49" s="4"/>
    </row>
    <row r="50" customFormat="false" ht="46.25" hidden="false" customHeight="false" outlineLevel="0" collapsed="false">
      <c r="A50" s="2" t="s">
        <v>245</v>
      </c>
      <c r="B50" s="2" t="s">
        <v>51</v>
      </c>
      <c r="C50" s="2" t="s">
        <v>324</v>
      </c>
      <c r="D50" s="2" t="s">
        <v>71</v>
      </c>
      <c r="E50" s="2" t="s">
        <v>34</v>
      </c>
      <c r="F50" s="2" t="s">
        <v>325</v>
      </c>
      <c r="G50" s="2" t="s">
        <v>326</v>
      </c>
      <c r="H50" s="2" t="s">
        <v>292</v>
      </c>
      <c r="I50" s="2" t="s">
        <v>237</v>
      </c>
      <c r="J50" s="2" t="s">
        <v>250</v>
      </c>
      <c r="K50" s="2"/>
      <c r="L50" s="2" t="s">
        <v>327</v>
      </c>
      <c r="M50" s="2" t="s">
        <v>27</v>
      </c>
      <c r="N50" s="2" t="s">
        <v>328</v>
      </c>
      <c r="O50" s="2" t="s">
        <v>29</v>
      </c>
      <c r="P50" s="2"/>
    </row>
    <row r="51" customFormat="false" ht="57.45" hidden="false" customHeight="false" outlineLevel="0" collapsed="false">
      <c r="A51" s="2" t="s">
        <v>245</v>
      </c>
      <c r="B51" s="2" t="s">
        <v>43</v>
      </c>
      <c r="C51" s="2" t="s">
        <v>329</v>
      </c>
      <c r="D51" s="2" t="s">
        <v>53</v>
      </c>
      <c r="E51" s="2" t="s">
        <v>78</v>
      </c>
      <c r="F51" s="2" t="s">
        <v>330</v>
      </c>
      <c r="G51" s="2" t="s">
        <v>331</v>
      </c>
      <c r="H51" s="2" t="s">
        <v>332</v>
      </c>
      <c r="I51" s="2" t="s">
        <v>62</v>
      </c>
      <c r="J51" s="2" t="s">
        <v>250</v>
      </c>
      <c r="K51" s="2"/>
      <c r="L51" s="2" t="s">
        <v>333</v>
      </c>
      <c r="M51" s="2" t="s">
        <v>27</v>
      </c>
      <c r="N51" s="2" t="s">
        <v>334</v>
      </c>
      <c r="O51" s="2" t="s">
        <v>29</v>
      </c>
      <c r="P51" s="2"/>
    </row>
    <row r="52" customFormat="false" ht="46.25" hidden="false" customHeight="false" outlineLevel="0" collapsed="false">
      <c r="A52" s="4" t="s">
        <v>245</v>
      </c>
      <c r="B52" s="4" t="s">
        <v>43</v>
      </c>
      <c r="C52" s="4" t="s">
        <v>335</v>
      </c>
      <c r="D52" s="4" t="s">
        <v>45</v>
      </c>
      <c r="E52" s="4" t="s">
        <v>78</v>
      </c>
      <c r="F52" s="4" t="s">
        <v>336</v>
      </c>
      <c r="G52" s="4" t="s">
        <v>337</v>
      </c>
      <c r="H52" s="4" t="s">
        <v>332</v>
      </c>
      <c r="I52" s="4" t="s">
        <v>106</v>
      </c>
      <c r="J52" s="4" t="s">
        <v>250</v>
      </c>
      <c r="K52" s="4"/>
      <c r="L52" s="4" t="s">
        <v>338</v>
      </c>
      <c r="M52" s="4" t="s">
        <v>278</v>
      </c>
      <c r="N52" s="4" t="s">
        <v>339</v>
      </c>
      <c r="O52" s="4" t="s">
        <v>280</v>
      </c>
      <c r="P52" s="4" t="s">
        <v>340</v>
      </c>
    </row>
    <row r="53" customFormat="false" ht="46.25" hidden="false" customHeight="false" outlineLevel="0" collapsed="false">
      <c r="A53" s="2" t="s">
        <v>245</v>
      </c>
      <c r="B53" s="2" t="s">
        <v>118</v>
      </c>
      <c r="C53" s="2" t="s">
        <v>341</v>
      </c>
      <c r="D53" s="2" t="s">
        <v>120</v>
      </c>
      <c r="E53" s="2" t="s">
        <v>78</v>
      </c>
      <c r="F53" s="2" t="s">
        <v>342</v>
      </c>
      <c r="G53" s="2" t="s">
        <v>343</v>
      </c>
      <c r="H53" s="2" t="s">
        <v>332</v>
      </c>
      <c r="I53" s="2" t="s">
        <v>344</v>
      </c>
      <c r="J53" s="2" t="s">
        <v>250</v>
      </c>
      <c r="K53" s="2" t="s">
        <v>345</v>
      </c>
      <c r="L53" s="2" t="s">
        <v>346</v>
      </c>
      <c r="M53" s="2" t="s">
        <v>41</v>
      </c>
      <c r="N53" s="2" t="s">
        <v>347</v>
      </c>
      <c r="O53" s="2" t="s">
        <v>29</v>
      </c>
      <c r="P53" s="2" t="s">
        <v>348</v>
      </c>
    </row>
    <row r="54" customFormat="false" ht="46.25" hidden="false" customHeight="false" outlineLevel="0" collapsed="false">
      <c r="A54" s="4" t="s">
        <v>245</v>
      </c>
      <c r="B54" s="4" t="s">
        <v>31</v>
      </c>
      <c r="C54" s="4" t="s">
        <v>349</v>
      </c>
      <c r="D54" s="4" t="s">
        <v>33</v>
      </c>
      <c r="E54" s="4" t="s">
        <v>78</v>
      </c>
      <c r="F54" s="4" t="s">
        <v>350</v>
      </c>
      <c r="G54" s="4" t="s">
        <v>351</v>
      </c>
      <c r="H54" s="4" t="s">
        <v>332</v>
      </c>
      <c r="I54" s="4" t="s">
        <v>82</v>
      </c>
      <c r="J54" s="4" t="s">
        <v>250</v>
      </c>
      <c r="K54" s="4"/>
      <c r="L54" s="4" t="s">
        <v>352</v>
      </c>
      <c r="M54" s="4" t="s">
        <v>64</v>
      </c>
      <c r="N54" s="4" t="s">
        <v>353</v>
      </c>
      <c r="O54" s="4" t="s">
        <v>280</v>
      </c>
      <c r="P54" s="4" t="s">
        <v>354</v>
      </c>
    </row>
    <row r="55" customFormat="false" ht="46.25" hidden="false" customHeight="false" outlineLevel="0" collapsed="false">
      <c r="A55" s="4" t="s">
        <v>245</v>
      </c>
      <c r="B55" s="4" t="s">
        <v>31</v>
      </c>
      <c r="C55" s="4" t="s">
        <v>355</v>
      </c>
      <c r="D55" s="4" t="s">
        <v>33</v>
      </c>
      <c r="E55" s="4" t="s">
        <v>78</v>
      </c>
      <c r="F55" s="4" t="s">
        <v>356</v>
      </c>
      <c r="G55" s="4" t="s">
        <v>357</v>
      </c>
      <c r="H55" s="4" t="s">
        <v>332</v>
      </c>
      <c r="I55" s="4" t="s">
        <v>82</v>
      </c>
      <c r="J55" s="4" t="s">
        <v>250</v>
      </c>
      <c r="K55" s="4"/>
      <c r="L55" s="4" t="s">
        <v>352</v>
      </c>
      <c r="M55" s="4" t="s">
        <v>64</v>
      </c>
      <c r="N55" s="4" t="s">
        <v>353</v>
      </c>
      <c r="O55" s="4" t="s">
        <v>280</v>
      </c>
      <c r="P55" s="4"/>
    </row>
    <row r="56" customFormat="false" ht="46.25" hidden="false" customHeight="false" outlineLevel="0" collapsed="false">
      <c r="A56" s="4" t="s">
        <v>245</v>
      </c>
      <c r="B56" s="4" t="s">
        <v>198</v>
      </c>
      <c r="C56" s="4" t="s">
        <v>358</v>
      </c>
      <c r="D56" s="4" t="s">
        <v>200</v>
      </c>
      <c r="E56" s="4" t="s">
        <v>78</v>
      </c>
      <c r="F56" s="4" t="s">
        <v>359</v>
      </c>
      <c r="G56" s="4" t="s">
        <v>360</v>
      </c>
      <c r="H56" s="4" t="s">
        <v>332</v>
      </c>
      <c r="I56" s="4" t="s">
        <v>82</v>
      </c>
      <c r="J56" s="4" t="s">
        <v>250</v>
      </c>
      <c r="K56" s="4" t="s">
        <v>123</v>
      </c>
      <c r="L56" s="4" t="s">
        <v>352</v>
      </c>
      <c r="M56" s="4" t="s">
        <v>64</v>
      </c>
      <c r="N56" s="4" t="s">
        <v>361</v>
      </c>
      <c r="O56" s="4" t="s">
        <v>280</v>
      </c>
      <c r="P56" s="4" t="s">
        <v>362</v>
      </c>
    </row>
    <row r="57" customFormat="false" ht="35.05" hidden="false" customHeight="false" outlineLevel="0" collapsed="false">
      <c r="A57" s="4" t="s">
        <v>245</v>
      </c>
      <c r="B57" s="4" t="s">
        <v>43</v>
      </c>
      <c r="C57" s="4" t="s">
        <v>363</v>
      </c>
      <c r="D57" s="4" t="s">
        <v>53</v>
      </c>
      <c r="E57" s="4" t="s">
        <v>78</v>
      </c>
      <c r="F57" s="4" t="s">
        <v>364</v>
      </c>
      <c r="G57" s="4" t="s">
        <v>365</v>
      </c>
      <c r="H57" s="4" t="s">
        <v>332</v>
      </c>
      <c r="I57" s="4" t="s">
        <v>82</v>
      </c>
      <c r="J57" s="4" t="s">
        <v>250</v>
      </c>
      <c r="K57" s="4"/>
      <c r="L57" s="4" t="s">
        <v>366</v>
      </c>
      <c r="M57" s="4" t="s">
        <v>64</v>
      </c>
      <c r="N57" s="4" t="s">
        <v>367</v>
      </c>
      <c r="O57" s="4" t="s">
        <v>280</v>
      </c>
      <c r="P57" s="4"/>
    </row>
    <row r="58" customFormat="false" ht="46.25" hidden="false" customHeight="false" outlineLevel="0" collapsed="false">
      <c r="A58" s="4" t="s">
        <v>245</v>
      </c>
      <c r="B58" s="4" t="s">
        <v>51</v>
      </c>
      <c r="C58" s="4" t="s">
        <v>368</v>
      </c>
      <c r="D58" s="4" t="s">
        <v>33</v>
      </c>
      <c r="E58" s="4" t="s">
        <v>112</v>
      </c>
      <c r="F58" s="4" t="s">
        <v>369</v>
      </c>
      <c r="G58" s="4" t="s">
        <v>370</v>
      </c>
      <c r="H58" s="4" t="s">
        <v>314</v>
      </c>
      <c r="I58" s="4" t="s">
        <v>82</v>
      </c>
      <c r="J58" s="4" t="s">
        <v>250</v>
      </c>
      <c r="K58" s="4"/>
      <c r="L58" s="4" t="s">
        <v>371</v>
      </c>
      <c r="M58" s="4" t="s">
        <v>64</v>
      </c>
      <c r="N58" s="4" t="s">
        <v>372</v>
      </c>
      <c r="O58" s="4" t="s">
        <v>280</v>
      </c>
      <c r="P58" s="4" t="s">
        <v>373</v>
      </c>
    </row>
    <row r="59" customFormat="false" ht="46.25" hidden="false" customHeight="false" outlineLevel="0" collapsed="false">
      <c r="A59" s="4" t="s">
        <v>245</v>
      </c>
      <c r="B59" s="4" t="s">
        <v>43</v>
      </c>
      <c r="C59" s="4" t="s">
        <v>374</v>
      </c>
      <c r="D59" s="4" t="s">
        <v>45</v>
      </c>
      <c r="E59" s="4" t="s">
        <v>78</v>
      </c>
      <c r="F59" s="4" t="s">
        <v>375</v>
      </c>
      <c r="G59" s="4" t="s">
        <v>376</v>
      </c>
      <c r="H59" s="4" t="s">
        <v>332</v>
      </c>
      <c r="I59" s="4" t="s">
        <v>377</v>
      </c>
      <c r="J59" s="4" t="s">
        <v>250</v>
      </c>
      <c r="K59" s="4"/>
      <c r="L59" s="4" t="s">
        <v>371</v>
      </c>
      <c r="M59" s="4" t="s">
        <v>64</v>
      </c>
      <c r="N59" s="4" t="s">
        <v>372</v>
      </c>
      <c r="O59" s="4" t="s">
        <v>280</v>
      </c>
      <c r="P59" s="4" t="s">
        <v>378</v>
      </c>
    </row>
    <row r="60" customFormat="false" ht="57.45" hidden="false" customHeight="false" outlineLevel="0" collapsed="false">
      <c r="A60" s="2" t="s">
        <v>379</v>
      </c>
      <c r="B60" s="2" t="s">
        <v>198</v>
      </c>
      <c r="C60" s="2" t="s">
        <v>380</v>
      </c>
      <c r="D60" s="2" t="s">
        <v>200</v>
      </c>
      <c r="E60" s="2" t="s">
        <v>78</v>
      </c>
      <c r="F60" s="2" t="s">
        <v>381</v>
      </c>
      <c r="G60" s="2" t="s">
        <v>382</v>
      </c>
      <c r="H60" s="2" t="s">
        <v>105</v>
      </c>
      <c r="I60" s="2" t="s">
        <v>135</v>
      </c>
      <c r="J60" s="2" t="s">
        <v>39</v>
      </c>
      <c r="K60" s="2" t="s">
        <v>383</v>
      </c>
      <c r="L60" s="2" t="s">
        <v>384</v>
      </c>
      <c r="M60" s="2" t="s">
        <v>27</v>
      </c>
      <c r="N60" s="2" t="s">
        <v>385</v>
      </c>
      <c r="O60" s="2" t="s">
        <v>29</v>
      </c>
      <c r="P60" s="2"/>
    </row>
    <row r="61" customFormat="false" ht="23.85" hidden="false" customHeight="false" outlineLevel="0" collapsed="false">
      <c r="A61" s="2" t="s">
        <v>379</v>
      </c>
      <c r="B61" s="2" t="s">
        <v>118</v>
      </c>
      <c r="C61" s="2" t="s">
        <v>187</v>
      </c>
      <c r="D61" s="2" t="s">
        <v>120</v>
      </c>
      <c r="E61" s="2" t="s">
        <v>78</v>
      </c>
      <c r="F61" s="2" t="s">
        <v>386</v>
      </c>
      <c r="G61" s="2" t="s">
        <v>387</v>
      </c>
      <c r="H61" s="2" t="s">
        <v>388</v>
      </c>
      <c r="I61" s="2" t="s">
        <v>389</v>
      </c>
      <c r="J61" s="2" t="s">
        <v>39</v>
      </c>
      <c r="K61" s="2" t="s">
        <v>123</v>
      </c>
      <c r="L61" s="2" t="s">
        <v>390</v>
      </c>
      <c r="M61" s="2" t="s">
        <v>27</v>
      </c>
      <c r="N61" s="2" t="s">
        <v>391</v>
      </c>
      <c r="O61" s="2" t="s">
        <v>29</v>
      </c>
      <c r="P61" s="2"/>
    </row>
    <row r="62" customFormat="false" ht="124.6" hidden="false" customHeight="false" outlineLevel="0" collapsed="false">
      <c r="A62" s="3" t="s">
        <v>379</v>
      </c>
      <c r="B62" s="3" t="s">
        <v>17</v>
      </c>
      <c r="C62" s="3" t="s">
        <v>58</v>
      </c>
      <c r="D62" s="3" t="s">
        <v>19</v>
      </c>
      <c r="E62" s="3" t="s">
        <v>17</v>
      </c>
      <c r="F62" s="3" t="s">
        <v>392</v>
      </c>
      <c r="G62" s="3" t="s">
        <v>393</v>
      </c>
      <c r="H62" s="3" t="s">
        <v>212</v>
      </c>
      <c r="I62" s="3" t="s">
        <v>394</v>
      </c>
      <c r="J62" s="3" t="s">
        <v>395</v>
      </c>
      <c r="K62" s="3" t="s">
        <v>396</v>
      </c>
      <c r="L62" s="3" t="s">
        <v>397</v>
      </c>
      <c r="M62" s="3" t="s">
        <v>100</v>
      </c>
      <c r="N62" s="3" t="s">
        <v>398</v>
      </c>
      <c r="O62" s="3" t="s">
        <v>29</v>
      </c>
      <c r="P62" s="3"/>
    </row>
    <row r="63" customFormat="false" ht="79.85" hidden="false" customHeight="false" outlineLevel="0" collapsed="false">
      <c r="A63" s="2" t="s">
        <v>379</v>
      </c>
      <c r="B63" s="2" t="s">
        <v>51</v>
      </c>
      <c r="C63" s="2" t="s">
        <v>111</v>
      </c>
      <c r="D63" s="2" t="s">
        <v>33</v>
      </c>
      <c r="E63" s="2" t="s">
        <v>112</v>
      </c>
      <c r="F63" s="2" t="s">
        <v>399</v>
      </c>
      <c r="G63" s="2" t="s">
        <v>400</v>
      </c>
      <c r="H63" s="2" t="s">
        <v>115</v>
      </c>
      <c r="I63" s="2" t="s">
        <v>401</v>
      </c>
      <c r="J63" s="2" t="s">
        <v>39</v>
      </c>
      <c r="K63" s="2" t="s">
        <v>25</v>
      </c>
      <c r="L63" s="2" t="s">
        <v>402</v>
      </c>
      <c r="M63" s="2" t="s">
        <v>27</v>
      </c>
      <c r="N63" s="2" t="s">
        <v>403</v>
      </c>
      <c r="O63" s="2" t="s">
        <v>29</v>
      </c>
      <c r="P63" s="2"/>
    </row>
    <row r="64" customFormat="false" ht="23.85" hidden="false" customHeight="false" outlineLevel="0" collapsed="false">
      <c r="A64" s="2" t="s">
        <v>379</v>
      </c>
      <c r="B64" s="2" t="s">
        <v>51</v>
      </c>
      <c r="C64" s="2" t="s">
        <v>151</v>
      </c>
      <c r="D64" s="2" t="s">
        <v>71</v>
      </c>
      <c r="E64" s="2" t="s">
        <v>34</v>
      </c>
      <c r="F64" s="2" t="s">
        <v>404</v>
      </c>
      <c r="G64" s="2" t="s">
        <v>405</v>
      </c>
      <c r="H64" s="2" t="s">
        <v>406</v>
      </c>
      <c r="I64" s="2" t="s">
        <v>82</v>
      </c>
      <c r="J64" s="2" t="s">
        <v>39</v>
      </c>
      <c r="K64" s="2" t="s">
        <v>25</v>
      </c>
      <c r="L64" s="2" t="s">
        <v>407</v>
      </c>
      <c r="M64" s="2" t="s">
        <v>27</v>
      </c>
      <c r="N64" s="2" t="s">
        <v>408</v>
      </c>
      <c r="O64" s="2" t="s">
        <v>29</v>
      </c>
      <c r="P64" s="2"/>
    </row>
    <row r="65" customFormat="false" ht="23.85" hidden="false" customHeight="false" outlineLevel="0" collapsed="false">
      <c r="A65" s="2" t="s">
        <v>379</v>
      </c>
      <c r="B65" s="2" t="s">
        <v>198</v>
      </c>
      <c r="C65" s="2" t="s">
        <v>409</v>
      </c>
      <c r="D65" s="2" t="s">
        <v>200</v>
      </c>
      <c r="E65" s="2" t="s">
        <v>78</v>
      </c>
      <c r="F65" s="2" t="s">
        <v>410</v>
      </c>
      <c r="G65" s="2" t="s">
        <v>411</v>
      </c>
      <c r="H65" s="2" t="s">
        <v>105</v>
      </c>
      <c r="I65" s="2" t="s">
        <v>412</v>
      </c>
      <c r="J65" s="2" t="s">
        <v>39</v>
      </c>
      <c r="K65" s="2" t="s">
        <v>123</v>
      </c>
      <c r="L65" s="2" t="s">
        <v>413</v>
      </c>
      <c r="M65" s="2" t="s">
        <v>27</v>
      </c>
      <c r="N65" s="2" t="s">
        <v>414</v>
      </c>
      <c r="O65" s="2" t="s">
        <v>29</v>
      </c>
      <c r="P65" s="2"/>
    </row>
    <row r="66" customFormat="false" ht="35.05" hidden="false" customHeight="false" outlineLevel="0" collapsed="false">
      <c r="A66" s="2" t="s">
        <v>379</v>
      </c>
      <c r="B66" s="2" t="s">
        <v>43</v>
      </c>
      <c r="C66" s="2" t="s">
        <v>415</v>
      </c>
      <c r="D66" s="2" t="s">
        <v>45</v>
      </c>
      <c r="E66" s="2" t="s">
        <v>78</v>
      </c>
      <c r="F66" s="2" t="s">
        <v>416</v>
      </c>
      <c r="G66" s="2" t="s">
        <v>417</v>
      </c>
      <c r="H66" s="2" t="s">
        <v>81</v>
      </c>
      <c r="I66" s="2" t="s">
        <v>82</v>
      </c>
      <c r="J66" s="2" t="s">
        <v>39</v>
      </c>
      <c r="K66" s="2" t="s">
        <v>123</v>
      </c>
      <c r="L66" s="2" t="s">
        <v>418</v>
      </c>
      <c r="M66" s="2" t="s">
        <v>64</v>
      </c>
      <c r="N66" s="2" t="s">
        <v>419</v>
      </c>
      <c r="O66" s="2" t="s">
        <v>29</v>
      </c>
      <c r="P66" s="2"/>
    </row>
    <row r="67" customFormat="false" ht="23.85" hidden="false" customHeight="false" outlineLevel="0" collapsed="false">
      <c r="A67" s="2" t="s">
        <v>379</v>
      </c>
      <c r="B67" s="2" t="s">
        <v>43</v>
      </c>
      <c r="C67" s="2" t="s">
        <v>420</v>
      </c>
      <c r="D67" s="2" t="s">
        <v>45</v>
      </c>
      <c r="E67" s="2" t="s">
        <v>78</v>
      </c>
      <c r="F67" s="2" t="s">
        <v>421</v>
      </c>
      <c r="G67" s="2" t="s">
        <v>422</v>
      </c>
      <c r="H67" s="2" t="s">
        <v>423</v>
      </c>
      <c r="I67" s="2" t="s">
        <v>424</v>
      </c>
      <c r="J67" s="2" t="s">
        <v>39</v>
      </c>
      <c r="K67" s="2" t="s">
        <v>123</v>
      </c>
      <c r="L67" s="2" t="s">
        <v>425</v>
      </c>
      <c r="M67" s="2" t="s">
        <v>27</v>
      </c>
      <c r="N67" s="2" t="s">
        <v>426</v>
      </c>
      <c r="O67" s="2" t="s">
        <v>29</v>
      </c>
      <c r="P67" s="2"/>
    </row>
    <row r="68" customFormat="false" ht="35.05" hidden="false" customHeight="false" outlineLevel="0" collapsed="false">
      <c r="A68" s="2" t="s">
        <v>379</v>
      </c>
      <c r="B68" s="2" t="s">
        <v>51</v>
      </c>
      <c r="C68" s="2" t="s">
        <v>151</v>
      </c>
      <c r="D68" s="2" t="s">
        <v>71</v>
      </c>
      <c r="E68" s="2" t="s">
        <v>34</v>
      </c>
      <c r="F68" s="2" t="s">
        <v>427</v>
      </c>
      <c r="G68" s="2" t="s">
        <v>428</v>
      </c>
      <c r="H68" s="2" t="s">
        <v>37</v>
      </c>
      <c r="I68" s="2" t="s">
        <v>429</v>
      </c>
      <c r="J68" s="2" t="s">
        <v>39</v>
      </c>
      <c r="K68" s="2" t="s">
        <v>25</v>
      </c>
      <c r="L68" s="2" t="s">
        <v>49</v>
      </c>
      <c r="M68" s="2" t="s">
        <v>41</v>
      </c>
      <c r="N68" s="2" t="s">
        <v>430</v>
      </c>
      <c r="O68" s="2" t="s">
        <v>29</v>
      </c>
      <c r="P68" s="2"/>
    </row>
    <row r="69" customFormat="false" ht="35.05" hidden="false" customHeight="false" outlineLevel="0" collapsed="false">
      <c r="A69" s="2" t="s">
        <v>379</v>
      </c>
      <c r="B69" s="2" t="s">
        <v>17</v>
      </c>
      <c r="C69" s="2" t="s">
        <v>58</v>
      </c>
      <c r="D69" s="2" t="s">
        <v>19</v>
      </c>
      <c r="E69" s="2" t="s">
        <v>17</v>
      </c>
      <c r="F69" s="2" t="s">
        <v>431</v>
      </c>
      <c r="G69" s="2" t="s">
        <v>432</v>
      </c>
      <c r="H69" s="2" t="s">
        <v>145</v>
      </c>
      <c r="I69" s="2" t="s">
        <v>62</v>
      </c>
      <c r="J69" s="2" t="s">
        <v>90</v>
      </c>
      <c r="K69" s="2" t="s">
        <v>25</v>
      </c>
      <c r="L69" s="2" t="s">
        <v>433</v>
      </c>
      <c r="M69" s="2" t="s">
        <v>100</v>
      </c>
      <c r="N69" s="2" t="s">
        <v>434</v>
      </c>
      <c r="O69" s="2" t="s">
        <v>29</v>
      </c>
      <c r="P69" s="2"/>
    </row>
    <row r="70" customFormat="false" ht="35.05" hidden="false" customHeight="false" outlineLevel="0" collapsed="false">
      <c r="A70" s="2" t="s">
        <v>379</v>
      </c>
      <c r="B70" s="2" t="s">
        <v>51</v>
      </c>
      <c r="C70" s="2" t="s">
        <v>52</v>
      </c>
      <c r="D70" s="2" t="s">
        <v>53</v>
      </c>
      <c r="E70" s="2" t="s">
        <v>34</v>
      </c>
      <c r="F70" s="2" t="s">
        <v>435</v>
      </c>
      <c r="G70" s="2" t="s">
        <v>436</v>
      </c>
      <c r="H70" s="2" t="s">
        <v>423</v>
      </c>
      <c r="I70" s="2" t="s">
        <v>146</v>
      </c>
      <c r="J70" s="2" t="s">
        <v>90</v>
      </c>
      <c r="K70" s="2" t="s">
        <v>25</v>
      </c>
      <c r="L70" s="2" t="s">
        <v>437</v>
      </c>
      <c r="M70" s="2" t="s">
        <v>41</v>
      </c>
      <c r="N70" s="2" t="s">
        <v>438</v>
      </c>
      <c r="O70" s="2" t="s">
        <v>29</v>
      </c>
      <c r="P70" s="2"/>
    </row>
    <row r="71" customFormat="false" ht="57.45" hidden="false" customHeight="false" outlineLevel="0" collapsed="false">
      <c r="A71" s="2" t="s">
        <v>379</v>
      </c>
      <c r="B71" s="2" t="s">
        <v>51</v>
      </c>
      <c r="C71" s="2" t="s">
        <v>52</v>
      </c>
      <c r="D71" s="2" t="s">
        <v>53</v>
      </c>
      <c r="E71" s="2" t="s">
        <v>34</v>
      </c>
      <c r="F71" s="2" t="s">
        <v>439</v>
      </c>
      <c r="G71" s="2" t="s">
        <v>440</v>
      </c>
      <c r="H71" s="2" t="s">
        <v>423</v>
      </c>
      <c r="I71" s="2" t="s">
        <v>140</v>
      </c>
      <c r="J71" s="2" t="s">
        <v>90</v>
      </c>
      <c r="K71" s="2" t="s">
        <v>25</v>
      </c>
      <c r="L71" s="2" t="s">
        <v>147</v>
      </c>
      <c r="M71" s="2" t="s">
        <v>148</v>
      </c>
      <c r="N71" s="2" t="s">
        <v>149</v>
      </c>
      <c r="O71" s="2" t="s">
        <v>29</v>
      </c>
      <c r="P71" s="2"/>
    </row>
    <row r="72" customFormat="false" ht="57.45" hidden="false" customHeight="false" outlineLevel="0" collapsed="false">
      <c r="A72" s="2" t="s">
        <v>379</v>
      </c>
      <c r="B72" s="2" t="s">
        <v>43</v>
      </c>
      <c r="C72" s="2" t="s">
        <v>441</v>
      </c>
      <c r="D72" s="2" t="s">
        <v>45</v>
      </c>
      <c r="E72" s="2" t="s">
        <v>34</v>
      </c>
      <c r="F72" s="2" t="s">
        <v>442</v>
      </c>
      <c r="G72" s="2" t="s">
        <v>443</v>
      </c>
      <c r="H72" s="2" t="s">
        <v>423</v>
      </c>
      <c r="I72" s="2" t="s">
        <v>140</v>
      </c>
      <c r="J72" s="2" t="s">
        <v>90</v>
      </c>
      <c r="K72" s="2" t="s">
        <v>25</v>
      </c>
      <c r="L72" s="2" t="s">
        <v>147</v>
      </c>
      <c r="M72" s="2" t="s">
        <v>148</v>
      </c>
      <c r="N72" s="2" t="s">
        <v>149</v>
      </c>
      <c r="O72" s="2" t="s">
        <v>29</v>
      </c>
      <c r="P72" s="2"/>
    </row>
    <row r="73" customFormat="false" ht="46.25" hidden="false" customHeight="false" outlineLevel="0" collapsed="false">
      <c r="A73" s="2" t="s">
        <v>379</v>
      </c>
      <c r="B73" s="2" t="s">
        <v>51</v>
      </c>
      <c r="C73" s="2" t="s">
        <v>111</v>
      </c>
      <c r="D73" s="2" t="s">
        <v>33</v>
      </c>
      <c r="E73" s="2" t="s">
        <v>112</v>
      </c>
      <c r="F73" s="2" t="s">
        <v>444</v>
      </c>
      <c r="G73" s="2" t="s">
        <v>445</v>
      </c>
      <c r="H73" s="2" t="s">
        <v>37</v>
      </c>
      <c r="I73" s="2" t="s">
        <v>446</v>
      </c>
      <c r="J73" s="2" t="s">
        <v>90</v>
      </c>
      <c r="K73" s="2" t="s">
        <v>25</v>
      </c>
      <c r="L73" s="2" t="s">
        <v>447</v>
      </c>
      <c r="M73" s="2" t="s">
        <v>41</v>
      </c>
      <c r="N73" s="2" t="s">
        <v>448</v>
      </c>
      <c r="O73" s="2" t="s">
        <v>29</v>
      </c>
      <c r="P73" s="2"/>
    </row>
    <row r="74" customFormat="false" ht="35.05" hidden="false" customHeight="false" outlineLevel="0" collapsed="false">
      <c r="A74" s="2" t="s">
        <v>449</v>
      </c>
      <c r="B74" s="2" t="s">
        <v>43</v>
      </c>
      <c r="C74" s="2" t="s">
        <v>450</v>
      </c>
      <c r="D74" s="2" t="s">
        <v>45</v>
      </c>
      <c r="E74" s="2" t="s">
        <v>78</v>
      </c>
      <c r="F74" s="2" t="s">
        <v>451</v>
      </c>
      <c r="G74" s="2" t="s">
        <v>452</v>
      </c>
      <c r="H74" s="2" t="s">
        <v>453</v>
      </c>
      <c r="I74" s="2" t="s">
        <v>454</v>
      </c>
      <c r="J74" s="2" t="s">
        <v>455</v>
      </c>
      <c r="K74" s="2" t="s">
        <v>456</v>
      </c>
      <c r="L74" s="2" t="s">
        <v>457</v>
      </c>
      <c r="M74" s="2" t="s">
        <v>27</v>
      </c>
      <c r="N74" s="2" t="s">
        <v>458</v>
      </c>
      <c r="O74" s="2" t="s">
        <v>29</v>
      </c>
      <c r="P74" s="2" t="s">
        <v>459</v>
      </c>
    </row>
    <row r="75" customFormat="false" ht="23.85" hidden="false" customHeight="false" outlineLevel="0" collapsed="false">
      <c r="A75" s="2" t="s">
        <v>449</v>
      </c>
      <c r="B75" s="2" t="s">
        <v>43</v>
      </c>
      <c r="C75" s="2" t="s">
        <v>460</v>
      </c>
      <c r="D75" s="2" t="s">
        <v>45</v>
      </c>
      <c r="E75" s="2" t="s">
        <v>78</v>
      </c>
      <c r="F75" s="2" t="s">
        <v>461</v>
      </c>
      <c r="G75" s="2" t="s">
        <v>462</v>
      </c>
      <c r="H75" s="2" t="s">
        <v>463</v>
      </c>
      <c r="I75" s="2" t="s">
        <v>82</v>
      </c>
      <c r="J75" s="2" t="s">
        <v>39</v>
      </c>
      <c r="K75" s="2" t="s">
        <v>464</v>
      </c>
      <c r="L75" s="2" t="s">
        <v>465</v>
      </c>
      <c r="M75" s="2" t="s">
        <v>27</v>
      </c>
      <c r="N75" s="2" t="s">
        <v>466</v>
      </c>
      <c r="O75" s="2" t="s">
        <v>29</v>
      </c>
      <c r="P75" s="2"/>
    </row>
    <row r="76" customFormat="false" ht="35.05" hidden="false" customHeight="false" outlineLevel="0" collapsed="false">
      <c r="A76" s="2" t="s">
        <v>449</v>
      </c>
      <c r="B76" s="2" t="s">
        <v>51</v>
      </c>
      <c r="C76" s="2" t="s">
        <v>111</v>
      </c>
      <c r="D76" s="2" t="s">
        <v>33</v>
      </c>
      <c r="E76" s="2" t="s">
        <v>112</v>
      </c>
      <c r="F76" s="2" t="s">
        <v>467</v>
      </c>
      <c r="G76" s="2" t="s">
        <v>468</v>
      </c>
      <c r="H76" s="2" t="s">
        <v>469</v>
      </c>
      <c r="I76" s="2" t="s">
        <v>82</v>
      </c>
      <c r="J76" s="2" t="s">
        <v>39</v>
      </c>
      <c r="K76" s="2" t="s">
        <v>383</v>
      </c>
      <c r="L76" s="2" t="s">
        <v>470</v>
      </c>
      <c r="M76" s="2" t="s">
        <v>27</v>
      </c>
      <c r="N76" s="2" t="s">
        <v>471</v>
      </c>
      <c r="O76" s="2" t="s">
        <v>29</v>
      </c>
      <c r="P76" s="2"/>
    </row>
    <row r="77" customFormat="false" ht="23.85" hidden="false" customHeight="false" outlineLevel="0" collapsed="false">
      <c r="A77" s="2" t="s">
        <v>449</v>
      </c>
      <c r="B77" s="2" t="s">
        <v>17</v>
      </c>
      <c r="C77" s="2" t="s">
        <v>18</v>
      </c>
      <c r="D77" s="2" t="s">
        <v>19</v>
      </c>
      <c r="E77" s="2" t="s">
        <v>17</v>
      </c>
      <c r="F77" s="2" t="s">
        <v>472</v>
      </c>
      <c r="G77" s="2" t="s">
        <v>473</v>
      </c>
      <c r="H77" s="2" t="s">
        <v>88</v>
      </c>
      <c r="I77" s="2" t="s">
        <v>474</v>
      </c>
      <c r="J77" s="2" t="s">
        <v>39</v>
      </c>
      <c r="K77" s="2" t="s">
        <v>25</v>
      </c>
      <c r="L77" s="2" t="s">
        <v>475</v>
      </c>
      <c r="M77" s="2" t="s">
        <v>100</v>
      </c>
      <c r="N77" s="2" t="s">
        <v>476</v>
      </c>
      <c r="O77" s="2" t="s">
        <v>29</v>
      </c>
      <c r="P77" s="2"/>
    </row>
    <row r="78" customFormat="false" ht="68.65" hidden="false" customHeight="false" outlineLevel="0" collapsed="false">
      <c r="A78" s="2" t="s">
        <v>449</v>
      </c>
      <c r="B78" s="2" t="s">
        <v>43</v>
      </c>
      <c r="C78" s="2" t="s">
        <v>167</v>
      </c>
      <c r="D78" s="2" t="s">
        <v>45</v>
      </c>
      <c r="E78" s="2" t="s">
        <v>78</v>
      </c>
      <c r="F78" s="2" t="s">
        <v>477</v>
      </c>
      <c r="G78" s="2" t="s">
        <v>478</v>
      </c>
      <c r="H78" s="2" t="s">
        <v>479</v>
      </c>
      <c r="I78" s="2" t="s">
        <v>480</v>
      </c>
      <c r="J78" s="2" t="s">
        <v>24</v>
      </c>
      <c r="K78" s="2" t="s">
        <v>123</v>
      </c>
      <c r="L78" s="2" t="s">
        <v>481</v>
      </c>
      <c r="M78" s="2" t="s">
        <v>41</v>
      </c>
      <c r="N78" s="2" t="s">
        <v>482</v>
      </c>
      <c r="O78" s="2" t="s">
        <v>29</v>
      </c>
      <c r="P78" s="2" t="s">
        <v>483</v>
      </c>
    </row>
    <row r="79" customFormat="false" ht="35.05" hidden="false" customHeight="false" outlineLevel="0" collapsed="false">
      <c r="A79" s="2" t="s">
        <v>449</v>
      </c>
      <c r="B79" s="2" t="s">
        <v>43</v>
      </c>
      <c r="C79" s="2" t="s">
        <v>335</v>
      </c>
      <c r="D79" s="2" t="s">
        <v>45</v>
      </c>
      <c r="E79" s="2" t="s">
        <v>78</v>
      </c>
      <c r="F79" s="2" t="s">
        <v>484</v>
      </c>
      <c r="G79" s="2" t="s">
        <v>485</v>
      </c>
      <c r="H79" s="2" t="s">
        <v>486</v>
      </c>
      <c r="I79" s="2" t="s">
        <v>487</v>
      </c>
      <c r="J79" s="2" t="s">
        <v>455</v>
      </c>
      <c r="K79" s="2" t="s">
        <v>488</v>
      </c>
      <c r="L79" s="2" t="s">
        <v>489</v>
      </c>
      <c r="M79" s="2" t="s">
        <v>41</v>
      </c>
      <c r="N79" s="2" t="s">
        <v>490</v>
      </c>
      <c r="O79" s="2" t="s">
        <v>29</v>
      </c>
      <c r="P79" s="2" t="s">
        <v>491</v>
      </c>
    </row>
    <row r="80" customFormat="false" ht="23.85" hidden="false" customHeight="false" outlineLevel="0" collapsed="false">
      <c r="A80" s="2" t="s">
        <v>449</v>
      </c>
      <c r="B80" s="2" t="s">
        <v>17</v>
      </c>
      <c r="C80" s="2" t="s">
        <v>58</v>
      </c>
      <c r="D80" s="2" t="s">
        <v>19</v>
      </c>
      <c r="E80" s="2" t="s">
        <v>17</v>
      </c>
      <c r="F80" s="2" t="s">
        <v>492</v>
      </c>
      <c r="G80" s="2" t="s">
        <v>493</v>
      </c>
      <c r="H80" s="2" t="s">
        <v>494</v>
      </c>
      <c r="I80" s="2" t="s">
        <v>140</v>
      </c>
      <c r="J80" s="2" t="s">
        <v>39</v>
      </c>
      <c r="K80" s="2" t="s">
        <v>25</v>
      </c>
      <c r="L80" s="2" t="s">
        <v>63</v>
      </c>
      <c r="M80" s="2" t="s">
        <v>64</v>
      </c>
      <c r="N80" s="2" t="s">
        <v>495</v>
      </c>
      <c r="O80" s="2" t="s">
        <v>29</v>
      </c>
      <c r="P80" s="2"/>
    </row>
    <row r="81" customFormat="false" ht="23.85" hidden="false" customHeight="false" outlineLevel="0" collapsed="false">
      <c r="A81" s="2" t="s">
        <v>449</v>
      </c>
      <c r="B81" s="2" t="s">
        <v>43</v>
      </c>
      <c r="C81" s="2" t="s">
        <v>496</v>
      </c>
      <c r="D81" s="2" t="s">
        <v>45</v>
      </c>
      <c r="E81" s="2" t="s">
        <v>78</v>
      </c>
      <c r="F81" s="2" t="s">
        <v>497</v>
      </c>
      <c r="G81" s="2" t="s">
        <v>498</v>
      </c>
      <c r="H81" s="2" t="s">
        <v>499</v>
      </c>
      <c r="I81" s="2" t="s">
        <v>82</v>
      </c>
      <c r="J81" s="2" t="s">
        <v>39</v>
      </c>
      <c r="K81" s="2" t="s">
        <v>123</v>
      </c>
      <c r="L81" s="2" t="s">
        <v>63</v>
      </c>
      <c r="M81" s="2" t="s">
        <v>64</v>
      </c>
      <c r="N81" s="2" t="s">
        <v>495</v>
      </c>
      <c r="O81" s="2" t="s">
        <v>29</v>
      </c>
      <c r="P81" s="2"/>
    </row>
    <row r="82" customFormat="false" ht="23.85" hidden="false" customHeight="false" outlineLevel="0" collapsed="false">
      <c r="A82" s="2" t="s">
        <v>449</v>
      </c>
      <c r="B82" s="2" t="s">
        <v>51</v>
      </c>
      <c r="C82" s="2" t="s">
        <v>52</v>
      </c>
      <c r="D82" s="2" t="s">
        <v>53</v>
      </c>
      <c r="E82" s="2" t="s">
        <v>34</v>
      </c>
      <c r="F82" s="2" t="s">
        <v>500</v>
      </c>
      <c r="G82" s="2" t="s">
        <v>501</v>
      </c>
      <c r="H82" s="2" t="s">
        <v>502</v>
      </c>
      <c r="I82" s="2" t="s">
        <v>69</v>
      </c>
      <c r="J82" s="2" t="s">
        <v>39</v>
      </c>
      <c r="K82" s="2" t="s">
        <v>25</v>
      </c>
      <c r="L82" s="2" t="s">
        <v>63</v>
      </c>
      <c r="M82" s="2" t="s">
        <v>64</v>
      </c>
      <c r="N82" s="2" t="s">
        <v>495</v>
      </c>
      <c r="O82" s="2" t="s">
        <v>29</v>
      </c>
      <c r="P82" s="2"/>
    </row>
    <row r="83" customFormat="false" ht="23.85" hidden="false" customHeight="false" outlineLevel="0" collapsed="false">
      <c r="A83" s="2" t="s">
        <v>449</v>
      </c>
      <c r="B83" s="2" t="s">
        <v>51</v>
      </c>
      <c r="C83" s="2" t="s">
        <v>52</v>
      </c>
      <c r="D83" s="2" t="s">
        <v>53</v>
      </c>
      <c r="E83" s="2" t="s">
        <v>34</v>
      </c>
      <c r="F83" s="2" t="s">
        <v>503</v>
      </c>
      <c r="G83" s="2" t="s">
        <v>504</v>
      </c>
      <c r="H83" s="2" t="s">
        <v>502</v>
      </c>
      <c r="I83" s="2" t="s">
        <v>89</v>
      </c>
      <c r="J83" s="2" t="s">
        <v>90</v>
      </c>
      <c r="K83" s="2" t="s">
        <v>25</v>
      </c>
      <c r="L83" s="2" t="s">
        <v>505</v>
      </c>
      <c r="M83" s="2" t="s">
        <v>27</v>
      </c>
      <c r="N83" s="2" t="s">
        <v>506</v>
      </c>
      <c r="O83" s="2" t="s">
        <v>29</v>
      </c>
      <c r="P83" s="2"/>
    </row>
    <row r="84" customFormat="false" ht="57.45" hidden="false" customHeight="false" outlineLevel="0" collapsed="false">
      <c r="A84" s="2" t="s">
        <v>449</v>
      </c>
      <c r="B84" s="2" t="s">
        <v>198</v>
      </c>
      <c r="C84" s="2" t="s">
        <v>507</v>
      </c>
      <c r="D84" s="2" t="s">
        <v>200</v>
      </c>
      <c r="E84" s="2" t="s">
        <v>17</v>
      </c>
      <c r="F84" s="2" t="s">
        <v>508</v>
      </c>
      <c r="G84" s="2" t="s">
        <v>509</v>
      </c>
      <c r="H84" s="2" t="s">
        <v>285</v>
      </c>
      <c r="I84" s="2" t="s">
        <v>89</v>
      </c>
      <c r="J84" s="2" t="s">
        <v>90</v>
      </c>
      <c r="K84" s="2" t="s">
        <v>25</v>
      </c>
      <c r="L84" s="2" t="s">
        <v>147</v>
      </c>
      <c r="M84" s="2" t="s">
        <v>148</v>
      </c>
      <c r="N84" s="2" t="s">
        <v>149</v>
      </c>
      <c r="O84" s="2" t="s">
        <v>29</v>
      </c>
      <c r="P84" s="2"/>
    </row>
    <row r="85" customFormat="false" ht="57.45" hidden="false" customHeight="false" outlineLevel="0" collapsed="false">
      <c r="A85" s="2" t="s">
        <v>379</v>
      </c>
      <c r="B85" s="2" t="s">
        <v>51</v>
      </c>
      <c r="C85" s="2" t="s">
        <v>510</v>
      </c>
      <c r="D85" s="2" t="s">
        <v>71</v>
      </c>
      <c r="E85" s="2" t="s">
        <v>34</v>
      </c>
      <c r="F85" s="2" t="s">
        <v>511</v>
      </c>
      <c r="G85" s="2" t="s">
        <v>512</v>
      </c>
      <c r="H85" s="2" t="s">
        <v>513</v>
      </c>
      <c r="I85" s="2" t="s">
        <v>514</v>
      </c>
      <c r="J85" s="2" t="s">
        <v>24</v>
      </c>
      <c r="K85" s="2" t="s">
        <v>515</v>
      </c>
      <c r="L85" s="2" t="s">
        <v>516</v>
      </c>
      <c r="M85" s="2" t="s">
        <v>41</v>
      </c>
      <c r="N85" s="2" t="s">
        <v>517</v>
      </c>
      <c r="O85" s="2" t="s">
        <v>29</v>
      </c>
      <c r="P85" s="2"/>
    </row>
    <row r="86" customFormat="false" ht="35.05" hidden="false" customHeight="false" outlineLevel="0" collapsed="false">
      <c r="A86" s="2" t="s">
        <v>379</v>
      </c>
      <c r="B86" s="2" t="s">
        <v>43</v>
      </c>
      <c r="C86" s="2" t="s">
        <v>518</v>
      </c>
      <c r="D86" s="2" t="s">
        <v>45</v>
      </c>
      <c r="E86" s="2" t="s">
        <v>78</v>
      </c>
      <c r="F86" s="2" t="s">
        <v>519</v>
      </c>
      <c r="G86" s="2" t="s">
        <v>520</v>
      </c>
      <c r="H86" s="2" t="s">
        <v>521</v>
      </c>
      <c r="I86" s="2" t="s">
        <v>522</v>
      </c>
      <c r="J86" s="2" t="s">
        <v>24</v>
      </c>
      <c r="K86" s="2" t="s">
        <v>383</v>
      </c>
      <c r="L86" s="2" t="s">
        <v>523</v>
      </c>
      <c r="M86" s="2" t="s">
        <v>41</v>
      </c>
      <c r="N86" s="2" t="s">
        <v>524</v>
      </c>
      <c r="O86" s="2" t="s">
        <v>29</v>
      </c>
      <c r="P86" s="2"/>
    </row>
    <row r="87" customFormat="false" ht="46.25" hidden="false" customHeight="false" outlineLevel="0" collapsed="false">
      <c r="A87" s="2" t="s">
        <v>379</v>
      </c>
      <c r="B87" s="2" t="s">
        <v>43</v>
      </c>
      <c r="C87" s="2" t="s">
        <v>525</v>
      </c>
      <c r="D87" s="2" t="s">
        <v>526</v>
      </c>
      <c r="E87" s="2" t="s">
        <v>78</v>
      </c>
      <c r="F87" s="2" t="s">
        <v>527</v>
      </c>
      <c r="G87" s="2" t="s">
        <v>528</v>
      </c>
      <c r="H87" s="2" t="s">
        <v>521</v>
      </c>
      <c r="I87" s="2" t="s">
        <v>529</v>
      </c>
      <c r="J87" s="2" t="s">
        <v>24</v>
      </c>
      <c r="K87" s="2" t="s">
        <v>530</v>
      </c>
      <c r="L87" s="2" t="s">
        <v>531</v>
      </c>
      <c r="M87" s="2" t="s">
        <v>41</v>
      </c>
      <c r="N87" s="2" t="s">
        <v>532</v>
      </c>
      <c r="O87" s="2" t="s">
        <v>29</v>
      </c>
      <c r="P87" s="2"/>
    </row>
    <row r="88" customFormat="false" ht="46.25" hidden="false" customHeight="false" outlineLevel="0" collapsed="false">
      <c r="A88" s="2" t="s">
        <v>379</v>
      </c>
      <c r="B88" s="2" t="s">
        <v>118</v>
      </c>
      <c r="C88" s="2" t="s">
        <v>533</v>
      </c>
      <c r="D88" s="2" t="s">
        <v>120</v>
      </c>
      <c r="E88" s="2" t="s">
        <v>78</v>
      </c>
      <c r="F88" s="2" t="s">
        <v>534</v>
      </c>
      <c r="G88" s="2" t="s">
        <v>535</v>
      </c>
      <c r="H88" s="2" t="s">
        <v>521</v>
      </c>
      <c r="I88" s="2" t="s">
        <v>536</v>
      </c>
      <c r="J88" s="2" t="s">
        <v>24</v>
      </c>
      <c r="K88" s="2" t="s">
        <v>383</v>
      </c>
      <c r="L88" s="2" t="s">
        <v>287</v>
      </c>
      <c r="M88" s="2" t="s">
        <v>41</v>
      </c>
      <c r="N88" s="2" t="s">
        <v>537</v>
      </c>
      <c r="O88" s="2" t="s">
        <v>29</v>
      </c>
      <c r="P88" s="2"/>
    </row>
    <row r="89" customFormat="false" ht="35.05" hidden="false" customHeight="false" outlineLevel="0" collapsed="false">
      <c r="A89" s="4" t="s">
        <v>379</v>
      </c>
      <c r="B89" s="4" t="s">
        <v>31</v>
      </c>
      <c r="C89" s="4" t="s">
        <v>538</v>
      </c>
      <c r="D89" s="4" t="s">
        <v>33</v>
      </c>
      <c r="E89" s="4" t="s">
        <v>78</v>
      </c>
      <c r="F89" s="4" t="s">
        <v>539</v>
      </c>
      <c r="G89" s="4" t="s">
        <v>540</v>
      </c>
      <c r="H89" s="4" t="s">
        <v>332</v>
      </c>
      <c r="I89" s="4" t="s">
        <v>344</v>
      </c>
      <c r="J89" s="4" t="s">
        <v>541</v>
      </c>
      <c r="K89" s="4" t="s">
        <v>123</v>
      </c>
      <c r="L89" s="4" t="s">
        <v>542</v>
      </c>
      <c r="M89" s="4" t="s">
        <v>64</v>
      </c>
      <c r="N89" s="4" t="s">
        <v>543</v>
      </c>
      <c r="O89" s="4" t="s">
        <v>29</v>
      </c>
      <c r="P89" s="4" t="s">
        <v>544</v>
      </c>
    </row>
    <row r="90" customFormat="false" ht="35.05" hidden="false" customHeight="false" outlineLevel="0" collapsed="false">
      <c r="A90" s="4" t="s">
        <v>379</v>
      </c>
      <c r="B90" s="4" t="s">
        <v>43</v>
      </c>
      <c r="C90" s="4" t="s">
        <v>545</v>
      </c>
      <c r="D90" s="4" t="s">
        <v>33</v>
      </c>
      <c r="E90" s="4" t="s">
        <v>78</v>
      </c>
      <c r="F90" s="4" t="s">
        <v>546</v>
      </c>
      <c r="G90" s="4" t="s">
        <v>547</v>
      </c>
      <c r="H90" s="4" t="s">
        <v>332</v>
      </c>
      <c r="I90" s="4" t="s">
        <v>82</v>
      </c>
      <c r="J90" s="4" t="s">
        <v>541</v>
      </c>
      <c r="K90" s="4" t="s">
        <v>123</v>
      </c>
      <c r="L90" s="4" t="s">
        <v>548</v>
      </c>
      <c r="M90" s="4" t="s">
        <v>278</v>
      </c>
      <c r="N90" s="4" t="s">
        <v>549</v>
      </c>
      <c r="O90" s="4" t="s">
        <v>29</v>
      </c>
      <c r="P90" s="4" t="s">
        <v>550</v>
      </c>
    </row>
    <row r="91" customFormat="false" ht="46.25" hidden="false" customHeight="false" outlineLevel="0" collapsed="false">
      <c r="A91" s="2" t="s">
        <v>379</v>
      </c>
      <c r="B91" s="2" t="s">
        <v>17</v>
      </c>
      <c r="C91" s="2" t="s">
        <v>551</v>
      </c>
      <c r="D91" s="2" t="s">
        <v>19</v>
      </c>
      <c r="E91" s="2" t="s">
        <v>17</v>
      </c>
      <c r="F91" s="2" t="s">
        <v>552</v>
      </c>
      <c r="G91" s="2" t="s">
        <v>553</v>
      </c>
      <c r="H91" s="2" t="s">
        <v>248</v>
      </c>
      <c r="I91" s="2" t="s">
        <v>69</v>
      </c>
      <c r="J91" s="2" t="s">
        <v>24</v>
      </c>
      <c r="K91" s="2" t="s">
        <v>25</v>
      </c>
      <c r="L91" s="2" t="s">
        <v>554</v>
      </c>
      <c r="M91" s="2" t="s">
        <v>41</v>
      </c>
      <c r="N91" s="2" t="s">
        <v>555</v>
      </c>
      <c r="O91" s="2" t="s">
        <v>29</v>
      </c>
      <c r="P91" s="2"/>
    </row>
    <row r="92" customFormat="false" ht="35.05" hidden="false" customHeight="false" outlineLevel="0" collapsed="false">
      <c r="A92" s="2" t="s">
        <v>379</v>
      </c>
      <c r="B92" s="2" t="s">
        <v>51</v>
      </c>
      <c r="C92" s="2" t="s">
        <v>324</v>
      </c>
      <c r="D92" s="2" t="s">
        <v>71</v>
      </c>
      <c r="E92" s="2" t="s">
        <v>34</v>
      </c>
      <c r="F92" s="2" t="s">
        <v>556</v>
      </c>
      <c r="G92" s="2" t="s">
        <v>557</v>
      </c>
      <c r="H92" s="2" t="s">
        <v>292</v>
      </c>
      <c r="I92" s="2" t="s">
        <v>82</v>
      </c>
      <c r="J92" s="2" t="s">
        <v>24</v>
      </c>
      <c r="K92" s="2" t="s">
        <v>25</v>
      </c>
      <c r="L92" s="2" t="s">
        <v>558</v>
      </c>
      <c r="M92" s="2" t="s">
        <v>27</v>
      </c>
      <c r="N92" s="2" t="s">
        <v>559</v>
      </c>
      <c r="O92" s="2" t="s">
        <v>29</v>
      </c>
      <c r="P92" s="2"/>
    </row>
    <row r="93" customFormat="false" ht="35.05" hidden="false" customHeight="false" outlineLevel="0" collapsed="false">
      <c r="A93" s="2" t="s">
        <v>379</v>
      </c>
      <c r="B93" s="2" t="s">
        <v>51</v>
      </c>
      <c r="C93" s="2" t="s">
        <v>560</v>
      </c>
      <c r="D93" s="2" t="s">
        <v>71</v>
      </c>
      <c r="E93" s="2" t="s">
        <v>34</v>
      </c>
      <c r="F93" s="2" t="s">
        <v>561</v>
      </c>
      <c r="G93" s="2" t="s">
        <v>562</v>
      </c>
      <c r="H93" s="2" t="s">
        <v>563</v>
      </c>
      <c r="I93" s="2" t="s">
        <v>564</v>
      </c>
      <c r="J93" s="2" t="s">
        <v>24</v>
      </c>
      <c r="K93" s="2" t="s">
        <v>25</v>
      </c>
      <c r="L93" s="2" t="s">
        <v>565</v>
      </c>
      <c r="M93" s="2" t="s">
        <v>41</v>
      </c>
      <c r="N93" s="2" t="s">
        <v>566</v>
      </c>
      <c r="O93" s="2" t="s">
        <v>29</v>
      </c>
      <c r="P93" s="2"/>
    </row>
    <row r="94" customFormat="false" ht="35.05" hidden="false" customHeight="false" outlineLevel="0" collapsed="false">
      <c r="A94" s="2" t="s">
        <v>379</v>
      </c>
      <c r="B94" s="2" t="s">
        <v>51</v>
      </c>
      <c r="C94" s="2" t="s">
        <v>567</v>
      </c>
      <c r="D94" s="2" t="s">
        <v>71</v>
      </c>
      <c r="E94" s="2" t="s">
        <v>34</v>
      </c>
      <c r="F94" s="2" t="s">
        <v>568</v>
      </c>
      <c r="G94" s="2" t="s">
        <v>569</v>
      </c>
      <c r="H94" s="2" t="s">
        <v>292</v>
      </c>
      <c r="I94" s="2" t="s">
        <v>57</v>
      </c>
      <c r="J94" s="2" t="s">
        <v>24</v>
      </c>
      <c r="K94" s="2" t="s">
        <v>25</v>
      </c>
      <c r="L94" s="2" t="s">
        <v>570</v>
      </c>
      <c r="M94" s="2" t="s">
        <v>27</v>
      </c>
      <c r="N94" s="2" t="s">
        <v>571</v>
      </c>
      <c r="O94" s="2" t="s">
        <v>29</v>
      </c>
      <c r="P94" s="2"/>
    </row>
    <row r="95" customFormat="false" ht="35.05" hidden="false" customHeight="false" outlineLevel="0" collapsed="false">
      <c r="A95" s="4" t="s">
        <v>379</v>
      </c>
      <c r="B95" s="4" t="s">
        <v>51</v>
      </c>
      <c r="C95" s="4" t="s">
        <v>572</v>
      </c>
      <c r="D95" s="4" t="s">
        <v>71</v>
      </c>
      <c r="E95" s="4" t="s">
        <v>34</v>
      </c>
      <c r="F95" s="4" t="s">
        <v>573</v>
      </c>
      <c r="G95" s="4" t="s">
        <v>574</v>
      </c>
      <c r="H95" s="4" t="s">
        <v>563</v>
      </c>
      <c r="I95" s="4" t="s">
        <v>82</v>
      </c>
      <c r="J95" s="4" t="s">
        <v>541</v>
      </c>
      <c r="K95" s="4" t="s">
        <v>25</v>
      </c>
      <c r="L95" s="4" t="s">
        <v>575</v>
      </c>
      <c r="M95" s="4" t="s">
        <v>27</v>
      </c>
      <c r="N95" s="4" t="s">
        <v>576</v>
      </c>
      <c r="O95" s="4" t="s">
        <v>29</v>
      </c>
      <c r="P95" s="4" t="s">
        <v>577</v>
      </c>
    </row>
    <row r="96" customFormat="false" ht="35.05" hidden="false" customHeight="false" outlineLevel="0" collapsed="false">
      <c r="A96" s="2" t="s">
        <v>379</v>
      </c>
      <c r="B96" s="2" t="s">
        <v>51</v>
      </c>
      <c r="C96" s="2" t="s">
        <v>111</v>
      </c>
      <c r="D96" s="2" t="s">
        <v>33</v>
      </c>
      <c r="E96" s="2" t="s">
        <v>112</v>
      </c>
      <c r="F96" s="2" t="s">
        <v>578</v>
      </c>
      <c r="G96" s="2" t="s">
        <v>579</v>
      </c>
      <c r="H96" s="2" t="s">
        <v>314</v>
      </c>
      <c r="I96" s="2" t="s">
        <v>89</v>
      </c>
      <c r="J96" s="2" t="s">
        <v>24</v>
      </c>
      <c r="K96" s="2" t="s">
        <v>25</v>
      </c>
      <c r="L96" s="2" t="s">
        <v>287</v>
      </c>
      <c r="M96" s="2" t="s">
        <v>41</v>
      </c>
      <c r="N96" s="2" t="s">
        <v>537</v>
      </c>
      <c r="O96" s="2" t="s">
        <v>29</v>
      </c>
      <c r="P96" s="2"/>
    </row>
    <row r="97" customFormat="false" ht="35.05" hidden="false" customHeight="false" outlineLevel="0" collapsed="false">
      <c r="A97" s="2" t="s">
        <v>379</v>
      </c>
      <c r="B97" s="2" t="s">
        <v>51</v>
      </c>
      <c r="C97" s="2" t="s">
        <v>111</v>
      </c>
      <c r="D97" s="2" t="s">
        <v>33</v>
      </c>
      <c r="E97" s="2" t="s">
        <v>112</v>
      </c>
      <c r="F97" s="2" t="s">
        <v>580</v>
      </c>
      <c r="G97" s="2" t="s">
        <v>581</v>
      </c>
      <c r="H97" s="2" t="s">
        <v>314</v>
      </c>
      <c r="I97" s="2" t="s">
        <v>62</v>
      </c>
      <c r="J97" s="2" t="s">
        <v>24</v>
      </c>
      <c r="K97" s="2" t="s">
        <v>25</v>
      </c>
      <c r="L97" s="2" t="s">
        <v>531</v>
      </c>
      <c r="M97" s="2" t="s">
        <v>41</v>
      </c>
      <c r="N97" s="2" t="s">
        <v>532</v>
      </c>
      <c r="O97" s="2" t="s">
        <v>29</v>
      </c>
      <c r="P97" s="2"/>
    </row>
    <row r="98" customFormat="false" ht="35.05" hidden="false" customHeight="false" outlineLevel="0" collapsed="false">
      <c r="A98" s="2" t="s">
        <v>94</v>
      </c>
      <c r="B98" s="2" t="s">
        <v>118</v>
      </c>
      <c r="C98" s="2" t="s">
        <v>582</v>
      </c>
      <c r="D98" s="2" t="s">
        <v>120</v>
      </c>
      <c r="E98" s="2" t="s">
        <v>78</v>
      </c>
      <c r="F98" s="2" t="s">
        <v>583</v>
      </c>
      <c r="G98" s="2" t="s">
        <v>584</v>
      </c>
      <c r="H98" s="2" t="s">
        <v>332</v>
      </c>
      <c r="I98" s="2" t="s">
        <v>237</v>
      </c>
      <c r="J98" s="2" t="s">
        <v>24</v>
      </c>
      <c r="K98" s="2" t="s">
        <v>123</v>
      </c>
      <c r="L98" s="2" t="s">
        <v>585</v>
      </c>
      <c r="M98" s="2" t="s">
        <v>41</v>
      </c>
      <c r="N98" s="2" t="s">
        <v>586</v>
      </c>
      <c r="O98" s="2" t="s">
        <v>29</v>
      </c>
      <c r="P98" s="2"/>
    </row>
    <row r="99" customFormat="false" ht="46.25" hidden="false" customHeight="false" outlineLevel="0" collapsed="false">
      <c r="A99" s="2" t="s">
        <v>94</v>
      </c>
      <c r="B99" s="2" t="s">
        <v>31</v>
      </c>
      <c r="C99" s="2" t="s">
        <v>587</v>
      </c>
      <c r="D99" s="2" t="s">
        <v>33</v>
      </c>
      <c r="E99" s="2" t="s">
        <v>78</v>
      </c>
      <c r="F99" s="2" t="s">
        <v>588</v>
      </c>
      <c r="G99" s="2" t="s">
        <v>589</v>
      </c>
      <c r="H99" s="2" t="s">
        <v>521</v>
      </c>
      <c r="I99" s="2" t="s">
        <v>590</v>
      </c>
      <c r="J99" s="2" t="s">
        <v>24</v>
      </c>
      <c r="K99" s="2" t="s">
        <v>591</v>
      </c>
      <c r="L99" s="2" t="s">
        <v>287</v>
      </c>
      <c r="M99" s="2" t="s">
        <v>41</v>
      </c>
      <c r="N99" s="2" t="s">
        <v>592</v>
      </c>
      <c r="O99" s="2" t="s">
        <v>29</v>
      </c>
      <c r="P99" s="2"/>
    </row>
    <row r="100" customFormat="false" ht="35.05" hidden="false" customHeight="false" outlineLevel="0" collapsed="false">
      <c r="A100" s="2" t="s">
        <v>94</v>
      </c>
      <c r="B100" s="2" t="s">
        <v>43</v>
      </c>
      <c r="C100" s="2" t="s">
        <v>593</v>
      </c>
      <c r="D100" s="2" t="s">
        <v>45</v>
      </c>
      <c r="E100" s="2" t="s">
        <v>78</v>
      </c>
      <c r="F100" s="2" t="s">
        <v>594</v>
      </c>
      <c r="G100" s="2" t="s">
        <v>595</v>
      </c>
      <c r="H100" s="2" t="s">
        <v>521</v>
      </c>
      <c r="I100" s="2" t="s">
        <v>69</v>
      </c>
      <c r="J100" s="2" t="s">
        <v>24</v>
      </c>
      <c r="K100" s="2" t="s">
        <v>596</v>
      </c>
      <c r="L100" s="2" t="s">
        <v>597</v>
      </c>
      <c r="M100" s="2" t="s">
        <v>41</v>
      </c>
      <c r="N100" s="2" t="s">
        <v>598</v>
      </c>
      <c r="O100" s="2" t="s">
        <v>29</v>
      </c>
      <c r="P100" s="2"/>
    </row>
    <row r="101" customFormat="false" ht="35.05" hidden="false" customHeight="false" outlineLevel="0" collapsed="false">
      <c r="A101" s="2" t="s">
        <v>94</v>
      </c>
      <c r="B101" s="2" t="s">
        <v>43</v>
      </c>
      <c r="C101" s="2" t="s">
        <v>599</v>
      </c>
      <c r="D101" s="2" t="s">
        <v>45</v>
      </c>
      <c r="E101" s="2" t="s">
        <v>78</v>
      </c>
      <c r="F101" s="2" t="s">
        <v>600</v>
      </c>
      <c r="G101" s="2" t="s">
        <v>601</v>
      </c>
      <c r="H101" s="2" t="s">
        <v>521</v>
      </c>
      <c r="I101" s="2" t="s">
        <v>69</v>
      </c>
      <c r="J101" s="2" t="s">
        <v>24</v>
      </c>
      <c r="K101" s="2" t="s">
        <v>107</v>
      </c>
      <c r="L101" s="2" t="s">
        <v>531</v>
      </c>
      <c r="M101" s="2" t="s">
        <v>41</v>
      </c>
      <c r="N101" s="2" t="s">
        <v>602</v>
      </c>
      <c r="O101" s="2" t="s">
        <v>29</v>
      </c>
      <c r="P101" s="2"/>
    </row>
    <row r="102" customFormat="false" ht="46.25" hidden="false" customHeight="false" outlineLevel="0" collapsed="false">
      <c r="A102" s="2" t="s">
        <v>94</v>
      </c>
      <c r="B102" s="2" t="s">
        <v>43</v>
      </c>
      <c r="C102" s="2" t="s">
        <v>603</v>
      </c>
      <c r="D102" s="2" t="s">
        <v>45</v>
      </c>
      <c r="E102" s="2" t="s">
        <v>78</v>
      </c>
      <c r="F102" s="2" t="s">
        <v>604</v>
      </c>
      <c r="G102" s="2" t="s">
        <v>605</v>
      </c>
      <c r="H102" s="2" t="s">
        <v>521</v>
      </c>
      <c r="I102" s="2" t="s">
        <v>606</v>
      </c>
      <c r="J102" s="2" t="s">
        <v>24</v>
      </c>
      <c r="K102" s="2" t="s">
        <v>607</v>
      </c>
      <c r="L102" s="2" t="s">
        <v>287</v>
      </c>
      <c r="M102" s="2" t="s">
        <v>41</v>
      </c>
      <c r="N102" s="2" t="s">
        <v>608</v>
      </c>
      <c r="O102" s="2" t="s">
        <v>29</v>
      </c>
      <c r="P102" s="2"/>
    </row>
    <row r="103" customFormat="false" ht="35.05" hidden="false" customHeight="false" outlineLevel="0" collapsed="false">
      <c r="A103" s="2" t="s">
        <v>94</v>
      </c>
      <c r="B103" s="2" t="s">
        <v>31</v>
      </c>
      <c r="C103" s="2" t="s">
        <v>609</v>
      </c>
      <c r="D103" s="2" t="s">
        <v>33</v>
      </c>
      <c r="E103" s="2" t="s">
        <v>78</v>
      </c>
      <c r="F103" s="2" t="s">
        <v>610</v>
      </c>
      <c r="G103" s="2" t="s">
        <v>611</v>
      </c>
      <c r="H103" s="2" t="s">
        <v>521</v>
      </c>
      <c r="I103" s="2" t="s">
        <v>612</v>
      </c>
      <c r="J103" s="2" t="s">
        <v>24</v>
      </c>
      <c r="K103" s="2" t="s">
        <v>383</v>
      </c>
      <c r="L103" s="2" t="s">
        <v>531</v>
      </c>
      <c r="M103" s="2" t="s">
        <v>41</v>
      </c>
      <c r="N103" s="2" t="s">
        <v>613</v>
      </c>
      <c r="O103" s="2" t="s">
        <v>29</v>
      </c>
      <c r="P103" s="2"/>
    </row>
    <row r="104" customFormat="false" ht="46.25" hidden="false" customHeight="false" outlineLevel="0" collapsed="false">
      <c r="A104" s="2" t="s">
        <v>94</v>
      </c>
      <c r="B104" s="2" t="s">
        <v>17</v>
      </c>
      <c r="C104" s="2" t="s">
        <v>614</v>
      </c>
      <c r="D104" s="2" t="s">
        <v>19</v>
      </c>
      <c r="E104" s="2" t="s">
        <v>34</v>
      </c>
      <c r="F104" s="2" t="s">
        <v>615</v>
      </c>
      <c r="G104" s="2" t="s">
        <v>616</v>
      </c>
      <c r="H104" s="2" t="s">
        <v>617</v>
      </c>
      <c r="I104" s="2" t="s">
        <v>618</v>
      </c>
      <c r="J104" s="2" t="s">
        <v>24</v>
      </c>
      <c r="K104" s="2" t="s">
        <v>25</v>
      </c>
      <c r="L104" s="2" t="s">
        <v>619</v>
      </c>
      <c r="M104" s="2" t="s">
        <v>64</v>
      </c>
      <c r="N104" s="2" t="s">
        <v>620</v>
      </c>
      <c r="O104" s="2" t="s">
        <v>29</v>
      </c>
      <c r="P104" s="2"/>
    </row>
    <row r="105" customFormat="false" ht="46.25" hidden="false" customHeight="false" outlineLevel="0" collapsed="false">
      <c r="A105" s="2" t="s">
        <v>94</v>
      </c>
      <c r="B105" s="2" t="s">
        <v>17</v>
      </c>
      <c r="C105" s="2" t="s">
        <v>551</v>
      </c>
      <c r="D105" s="2" t="s">
        <v>19</v>
      </c>
      <c r="E105" s="2" t="s">
        <v>17</v>
      </c>
      <c r="F105" s="2" t="s">
        <v>621</v>
      </c>
      <c r="G105" s="2" t="s">
        <v>622</v>
      </c>
      <c r="H105" s="2" t="s">
        <v>248</v>
      </c>
      <c r="I105" s="2" t="s">
        <v>623</v>
      </c>
      <c r="J105" s="2" t="s">
        <v>24</v>
      </c>
      <c r="K105" s="2" t="s">
        <v>25</v>
      </c>
      <c r="L105" s="2" t="s">
        <v>624</v>
      </c>
      <c r="M105" s="2" t="s">
        <v>100</v>
      </c>
      <c r="N105" s="2" t="s">
        <v>625</v>
      </c>
      <c r="O105" s="2" t="s">
        <v>29</v>
      </c>
      <c r="P105" s="2"/>
    </row>
    <row r="106" customFormat="false" ht="35.05" hidden="false" customHeight="false" outlineLevel="0" collapsed="false">
      <c r="A106" s="2" t="s">
        <v>94</v>
      </c>
      <c r="B106" s="2" t="s">
        <v>17</v>
      </c>
      <c r="C106" s="2" t="s">
        <v>626</v>
      </c>
      <c r="D106" s="2" t="s">
        <v>19</v>
      </c>
      <c r="E106" s="2" t="s">
        <v>17</v>
      </c>
      <c r="F106" s="2" t="s">
        <v>627</v>
      </c>
      <c r="G106" s="2" t="s">
        <v>628</v>
      </c>
      <c r="H106" s="2" t="s">
        <v>629</v>
      </c>
      <c r="I106" s="2" t="s">
        <v>69</v>
      </c>
      <c r="J106" s="2" t="s">
        <v>24</v>
      </c>
      <c r="K106" s="2" t="s">
        <v>25</v>
      </c>
      <c r="L106" s="2" t="s">
        <v>630</v>
      </c>
      <c r="M106" s="2" t="s">
        <v>100</v>
      </c>
      <c r="N106" s="2" t="s">
        <v>631</v>
      </c>
      <c r="O106" s="2" t="s">
        <v>29</v>
      </c>
      <c r="P106" s="2"/>
    </row>
    <row r="107" customFormat="false" ht="23.85" hidden="false" customHeight="false" outlineLevel="0" collapsed="false">
      <c r="A107" s="2" t="s">
        <v>94</v>
      </c>
      <c r="B107" s="2" t="s">
        <v>51</v>
      </c>
      <c r="C107" s="2" t="s">
        <v>111</v>
      </c>
      <c r="D107" s="2" t="s">
        <v>33</v>
      </c>
      <c r="E107" s="2" t="s">
        <v>112</v>
      </c>
      <c r="F107" s="2" t="s">
        <v>632</v>
      </c>
      <c r="G107" s="2" t="s">
        <v>633</v>
      </c>
      <c r="H107" s="2" t="s">
        <v>314</v>
      </c>
      <c r="I107" s="2" t="s">
        <v>82</v>
      </c>
      <c r="J107" s="2" t="s">
        <v>24</v>
      </c>
      <c r="K107" s="2" t="s">
        <v>25</v>
      </c>
      <c r="L107" s="2" t="s">
        <v>632</v>
      </c>
      <c r="M107" s="2" t="s">
        <v>27</v>
      </c>
      <c r="N107" s="2" t="s">
        <v>634</v>
      </c>
      <c r="O107" s="2" t="s">
        <v>29</v>
      </c>
      <c r="P107" s="2"/>
    </row>
    <row r="108" customFormat="false" ht="35.05" hidden="false" customHeight="false" outlineLevel="0" collapsed="false">
      <c r="A108" s="2" t="s">
        <v>94</v>
      </c>
      <c r="B108" s="2" t="s">
        <v>51</v>
      </c>
      <c r="C108" s="2" t="s">
        <v>111</v>
      </c>
      <c r="D108" s="2" t="s">
        <v>33</v>
      </c>
      <c r="E108" s="2" t="s">
        <v>112</v>
      </c>
      <c r="F108" s="2" t="s">
        <v>635</v>
      </c>
      <c r="G108" s="2" t="s">
        <v>636</v>
      </c>
      <c r="H108" s="2" t="s">
        <v>314</v>
      </c>
      <c r="I108" s="2" t="s">
        <v>82</v>
      </c>
      <c r="J108" s="2" t="s">
        <v>24</v>
      </c>
      <c r="K108" s="2" t="s">
        <v>25</v>
      </c>
      <c r="L108" s="2" t="s">
        <v>635</v>
      </c>
      <c r="M108" s="2" t="s">
        <v>27</v>
      </c>
      <c r="N108" s="2" t="s">
        <v>637</v>
      </c>
      <c r="O108" s="2" t="s">
        <v>29</v>
      </c>
      <c r="P108" s="2"/>
    </row>
    <row r="109" customFormat="false" ht="46.25" hidden="false" customHeight="false" outlineLevel="0" collapsed="false">
      <c r="A109" s="2" t="s">
        <v>449</v>
      </c>
      <c r="B109" s="2" t="s">
        <v>43</v>
      </c>
      <c r="C109" s="2" t="s">
        <v>638</v>
      </c>
      <c r="D109" s="2" t="s">
        <v>241</v>
      </c>
      <c r="E109" s="2" t="s">
        <v>78</v>
      </c>
      <c r="F109" s="2" t="s">
        <v>639</v>
      </c>
      <c r="G109" s="2" t="s">
        <v>640</v>
      </c>
      <c r="H109" s="2" t="s">
        <v>641</v>
      </c>
      <c r="I109" s="2" t="s">
        <v>590</v>
      </c>
      <c r="J109" s="2" t="s">
        <v>24</v>
      </c>
      <c r="K109" s="2" t="s">
        <v>642</v>
      </c>
      <c r="L109" s="2" t="s">
        <v>287</v>
      </c>
      <c r="M109" s="2" t="s">
        <v>41</v>
      </c>
      <c r="N109" s="2" t="s">
        <v>643</v>
      </c>
      <c r="O109" s="2" t="s">
        <v>29</v>
      </c>
      <c r="P109" s="2"/>
    </row>
    <row r="110" customFormat="false" ht="35.05" hidden="false" customHeight="false" outlineLevel="0" collapsed="false">
      <c r="A110" s="2" t="s">
        <v>449</v>
      </c>
      <c r="B110" s="2" t="s">
        <v>51</v>
      </c>
      <c r="C110" s="2" t="s">
        <v>644</v>
      </c>
      <c r="D110" s="2" t="s">
        <v>45</v>
      </c>
      <c r="E110" s="2" t="s">
        <v>78</v>
      </c>
      <c r="F110" s="2" t="s">
        <v>645</v>
      </c>
      <c r="G110" s="2" t="s">
        <v>646</v>
      </c>
      <c r="H110" s="2" t="s">
        <v>647</v>
      </c>
      <c r="I110" s="2" t="s">
        <v>648</v>
      </c>
      <c r="J110" s="2" t="s">
        <v>24</v>
      </c>
      <c r="K110" s="2" t="s">
        <v>123</v>
      </c>
      <c r="L110" s="2" t="s">
        <v>649</v>
      </c>
      <c r="M110" s="2" t="s">
        <v>41</v>
      </c>
      <c r="N110" s="2" t="s">
        <v>650</v>
      </c>
      <c r="O110" s="2" t="s">
        <v>29</v>
      </c>
      <c r="P110" s="2"/>
    </row>
    <row r="111" customFormat="false" ht="35.05" hidden="false" customHeight="false" outlineLevel="0" collapsed="false">
      <c r="A111" s="2" t="s">
        <v>449</v>
      </c>
      <c r="B111" s="2" t="s">
        <v>43</v>
      </c>
      <c r="C111" s="2" t="s">
        <v>651</v>
      </c>
      <c r="D111" s="2" t="s">
        <v>33</v>
      </c>
      <c r="E111" s="2" t="s">
        <v>78</v>
      </c>
      <c r="F111" s="2" t="s">
        <v>652</v>
      </c>
      <c r="G111" s="2" t="s">
        <v>653</v>
      </c>
      <c r="H111" s="2" t="s">
        <v>654</v>
      </c>
      <c r="I111" s="2" t="s">
        <v>89</v>
      </c>
      <c r="J111" s="2" t="s">
        <v>24</v>
      </c>
      <c r="K111" s="2" t="s">
        <v>655</v>
      </c>
      <c r="L111" s="2" t="s">
        <v>597</v>
      </c>
      <c r="M111" s="2" t="s">
        <v>41</v>
      </c>
      <c r="N111" s="2" t="s">
        <v>656</v>
      </c>
      <c r="O111" s="2" t="s">
        <v>29</v>
      </c>
      <c r="P111" s="2"/>
    </row>
    <row r="112" customFormat="false" ht="35.05" hidden="false" customHeight="false" outlineLevel="0" collapsed="false">
      <c r="A112" s="2" t="s">
        <v>449</v>
      </c>
      <c r="B112" s="2" t="s">
        <v>43</v>
      </c>
      <c r="C112" s="2" t="s">
        <v>657</v>
      </c>
      <c r="D112" s="2" t="s">
        <v>45</v>
      </c>
      <c r="E112" s="2" t="s">
        <v>78</v>
      </c>
      <c r="F112" s="2" t="s">
        <v>658</v>
      </c>
      <c r="G112" s="2" t="s">
        <v>659</v>
      </c>
      <c r="H112" s="2" t="s">
        <v>641</v>
      </c>
      <c r="I112" s="2" t="s">
        <v>660</v>
      </c>
      <c r="J112" s="2" t="s">
        <v>455</v>
      </c>
      <c r="K112" s="2" t="s">
        <v>661</v>
      </c>
      <c r="L112" s="2" t="s">
        <v>531</v>
      </c>
      <c r="M112" s="2" t="s">
        <v>41</v>
      </c>
      <c r="N112" s="2" t="s">
        <v>662</v>
      </c>
      <c r="O112" s="2" t="s">
        <v>29</v>
      </c>
      <c r="P112" s="2" t="s">
        <v>663</v>
      </c>
    </row>
    <row r="113" customFormat="false" ht="46.25" hidden="false" customHeight="false" outlineLevel="0" collapsed="false">
      <c r="A113" s="2" t="s">
        <v>449</v>
      </c>
      <c r="B113" s="2" t="s">
        <v>198</v>
      </c>
      <c r="C113" s="2" t="s">
        <v>664</v>
      </c>
      <c r="D113" s="2" t="s">
        <v>200</v>
      </c>
      <c r="E113" s="2" t="s">
        <v>78</v>
      </c>
      <c r="F113" s="2" t="s">
        <v>665</v>
      </c>
      <c r="G113" s="2" t="s">
        <v>666</v>
      </c>
      <c r="H113" s="2" t="s">
        <v>641</v>
      </c>
      <c r="I113" s="2" t="s">
        <v>667</v>
      </c>
      <c r="J113" s="2" t="s">
        <v>24</v>
      </c>
      <c r="K113" s="2" t="s">
        <v>123</v>
      </c>
      <c r="L113" s="2" t="s">
        <v>287</v>
      </c>
      <c r="M113" s="2" t="s">
        <v>41</v>
      </c>
      <c r="N113" s="2" t="s">
        <v>668</v>
      </c>
      <c r="O113" s="2" t="s">
        <v>29</v>
      </c>
      <c r="P113" s="2"/>
    </row>
    <row r="114" customFormat="false" ht="46.25" hidden="false" customHeight="false" outlineLevel="0" collapsed="false">
      <c r="A114" s="2" t="s">
        <v>449</v>
      </c>
      <c r="B114" s="2" t="s">
        <v>17</v>
      </c>
      <c r="C114" s="2" t="s">
        <v>669</v>
      </c>
      <c r="D114" s="2" t="s">
        <v>53</v>
      </c>
      <c r="E114" s="2" t="s">
        <v>34</v>
      </c>
      <c r="F114" s="2" t="s">
        <v>670</v>
      </c>
      <c r="G114" s="2" t="s">
        <v>671</v>
      </c>
      <c r="H114" s="2" t="s">
        <v>672</v>
      </c>
      <c r="I114" s="2" t="s">
        <v>590</v>
      </c>
      <c r="J114" s="2" t="s">
        <v>24</v>
      </c>
      <c r="K114" s="2" t="s">
        <v>25</v>
      </c>
      <c r="L114" s="2" t="s">
        <v>673</v>
      </c>
      <c r="M114" s="2" t="s">
        <v>27</v>
      </c>
      <c r="N114" s="2" t="s">
        <v>674</v>
      </c>
      <c r="O114" s="2" t="s">
        <v>29</v>
      </c>
      <c r="P114" s="2"/>
    </row>
    <row r="115" customFormat="false" ht="46.25" hidden="false" customHeight="false" outlineLevel="0" collapsed="false">
      <c r="A115" s="4" t="s">
        <v>449</v>
      </c>
      <c r="B115" s="4" t="s">
        <v>51</v>
      </c>
      <c r="C115" s="4" t="s">
        <v>324</v>
      </c>
      <c r="D115" s="4" t="s">
        <v>71</v>
      </c>
      <c r="E115" s="4" t="s">
        <v>34</v>
      </c>
      <c r="F115" s="4" t="s">
        <v>675</v>
      </c>
      <c r="G115" s="4" t="s">
        <v>676</v>
      </c>
      <c r="H115" s="4" t="s">
        <v>677</v>
      </c>
      <c r="I115" s="4" t="s">
        <v>536</v>
      </c>
      <c r="J115" s="4" t="s">
        <v>541</v>
      </c>
      <c r="K115" s="4" t="s">
        <v>25</v>
      </c>
      <c r="L115" s="4" t="s">
        <v>678</v>
      </c>
      <c r="M115" s="4" t="s">
        <v>278</v>
      </c>
      <c r="N115" s="4" t="s">
        <v>679</v>
      </c>
      <c r="O115" s="4" t="s">
        <v>29</v>
      </c>
      <c r="P115" s="4" t="s">
        <v>680</v>
      </c>
    </row>
    <row r="116" customFormat="false" ht="35.05" hidden="false" customHeight="false" outlineLevel="0" collapsed="false">
      <c r="A116" s="2" t="s">
        <v>449</v>
      </c>
      <c r="B116" s="2" t="s">
        <v>51</v>
      </c>
      <c r="C116" s="2" t="s">
        <v>681</v>
      </c>
      <c r="D116" s="2" t="s">
        <v>33</v>
      </c>
      <c r="E116" s="2" t="s">
        <v>34</v>
      </c>
      <c r="F116" s="2" t="s">
        <v>682</v>
      </c>
      <c r="G116" s="2" t="s">
        <v>683</v>
      </c>
      <c r="H116" s="2" t="s">
        <v>684</v>
      </c>
      <c r="I116" s="2" t="s">
        <v>685</v>
      </c>
      <c r="J116" s="2" t="s">
        <v>24</v>
      </c>
      <c r="K116" s="2" t="s">
        <v>642</v>
      </c>
      <c r="L116" s="2" t="s">
        <v>686</v>
      </c>
      <c r="M116" s="2" t="s">
        <v>41</v>
      </c>
      <c r="N116" s="2" t="s">
        <v>687</v>
      </c>
      <c r="O116" s="2" t="s">
        <v>29</v>
      </c>
      <c r="P116" s="2"/>
    </row>
    <row r="117" customFormat="false" ht="35.05" hidden="false" customHeight="false" outlineLevel="0" collapsed="false">
      <c r="A117" s="2" t="s">
        <v>449</v>
      </c>
      <c r="B117" s="2" t="s">
        <v>51</v>
      </c>
      <c r="C117" s="2" t="s">
        <v>688</v>
      </c>
      <c r="D117" s="2" t="s">
        <v>33</v>
      </c>
      <c r="E117" s="2" t="s">
        <v>112</v>
      </c>
      <c r="F117" s="2" t="s">
        <v>689</v>
      </c>
      <c r="G117" s="2" t="s">
        <v>690</v>
      </c>
      <c r="H117" s="2" t="s">
        <v>691</v>
      </c>
      <c r="I117" s="2" t="s">
        <v>692</v>
      </c>
      <c r="J117" s="2" t="s">
        <v>24</v>
      </c>
      <c r="K117" s="2" t="s">
        <v>693</v>
      </c>
      <c r="L117" s="2" t="s">
        <v>694</v>
      </c>
      <c r="M117" s="2" t="s">
        <v>100</v>
      </c>
      <c r="N117" s="2" t="s">
        <v>695</v>
      </c>
      <c r="O117" s="2" t="s">
        <v>29</v>
      </c>
      <c r="P117" s="2"/>
    </row>
    <row r="118" customFormat="false" ht="35.05" hidden="false" customHeight="false" outlineLevel="0" collapsed="false">
      <c r="A118" s="2" t="s">
        <v>449</v>
      </c>
      <c r="B118" s="2" t="s">
        <v>17</v>
      </c>
      <c r="C118" s="2" t="s">
        <v>696</v>
      </c>
      <c r="D118" s="2" t="s">
        <v>19</v>
      </c>
      <c r="E118" s="2" t="s">
        <v>17</v>
      </c>
      <c r="F118" s="2" t="s">
        <v>697</v>
      </c>
      <c r="G118" s="2" t="s">
        <v>698</v>
      </c>
      <c r="H118" s="2" t="s">
        <v>699</v>
      </c>
      <c r="I118" s="2" t="s">
        <v>69</v>
      </c>
      <c r="J118" s="2" t="s">
        <v>24</v>
      </c>
      <c r="K118" s="2" t="s">
        <v>700</v>
      </c>
      <c r="L118" s="2" t="s">
        <v>701</v>
      </c>
      <c r="M118" s="2" t="s">
        <v>41</v>
      </c>
      <c r="N118" s="2" t="s">
        <v>702</v>
      </c>
      <c r="O118" s="2" t="s">
        <v>29</v>
      </c>
      <c r="P118" s="2"/>
    </row>
    <row r="119" customFormat="false" ht="46.25" hidden="false" customHeight="false" outlineLevel="0" collapsed="false">
      <c r="A119" s="2" t="s">
        <v>449</v>
      </c>
      <c r="B119" s="2" t="s">
        <v>51</v>
      </c>
      <c r="C119" s="2" t="s">
        <v>703</v>
      </c>
      <c r="D119" s="2" t="s">
        <v>53</v>
      </c>
      <c r="E119" s="2" t="s">
        <v>34</v>
      </c>
      <c r="F119" s="2" t="s">
        <v>704</v>
      </c>
      <c r="G119" s="2" t="s">
        <v>705</v>
      </c>
      <c r="H119" s="2" t="s">
        <v>706</v>
      </c>
      <c r="I119" s="2" t="s">
        <v>82</v>
      </c>
      <c r="J119" s="2" t="s">
        <v>455</v>
      </c>
      <c r="K119" s="2" t="s">
        <v>25</v>
      </c>
      <c r="L119" s="2" t="s">
        <v>707</v>
      </c>
      <c r="M119" s="2" t="s">
        <v>27</v>
      </c>
      <c r="N119" s="2" t="s">
        <v>708</v>
      </c>
      <c r="O119" s="2" t="s">
        <v>29</v>
      </c>
      <c r="P119" s="2" t="s">
        <v>709</v>
      </c>
    </row>
    <row r="120" customFormat="false" ht="46.25" hidden="false" customHeight="false" outlineLevel="0" collapsed="false">
      <c r="A120" s="4" t="s">
        <v>449</v>
      </c>
      <c r="B120" s="4" t="s">
        <v>51</v>
      </c>
      <c r="C120" s="4" t="s">
        <v>710</v>
      </c>
      <c r="D120" s="4" t="s">
        <v>53</v>
      </c>
      <c r="E120" s="4" t="s">
        <v>34</v>
      </c>
      <c r="F120" s="4" t="s">
        <v>711</v>
      </c>
      <c r="G120" s="4" t="s">
        <v>712</v>
      </c>
      <c r="H120" s="4" t="s">
        <v>706</v>
      </c>
      <c r="I120" s="4" t="s">
        <v>82</v>
      </c>
      <c r="J120" s="4" t="s">
        <v>541</v>
      </c>
      <c r="K120" s="4" t="s">
        <v>25</v>
      </c>
      <c r="L120" s="4" t="s">
        <v>713</v>
      </c>
      <c r="M120" s="4" t="s">
        <v>27</v>
      </c>
      <c r="N120" s="4" t="s">
        <v>714</v>
      </c>
      <c r="O120" s="4" t="s">
        <v>29</v>
      </c>
      <c r="P120" s="4" t="s">
        <v>715</v>
      </c>
    </row>
    <row r="121" customFormat="false" ht="35.05" hidden="false" customHeight="false" outlineLevel="0" collapsed="false">
      <c r="A121" s="2" t="s">
        <v>16</v>
      </c>
      <c r="B121" s="2" t="s">
        <v>17</v>
      </c>
      <c r="C121" s="2" t="s">
        <v>58</v>
      </c>
      <c r="D121" s="2" t="s">
        <v>19</v>
      </c>
      <c r="E121" s="2" t="s">
        <v>17</v>
      </c>
      <c r="F121" s="2" t="s">
        <v>716</v>
      </c>
      <c r="G121" s="2" t="s">
        <v>717</v>
      </c>
      <c r="H121" s="2" t="s">
        <v>718</v>
      </c>
      <c r="I121" s="2" t="s">
        <v>719</v>
      </c>
      <c r="J121" s="2" t="s">
        <v>24</v>
      </c>
      <c r="K121" s="2" t="s">
        <v>25</v>
      </c>
      <c r="L121" s="2" t="s">
        <v>720</v>
      </c>
      <c r="M121" s="2" t="s">
        <v>64</v>
      </c>
      <c r="N121" s="2" t="s">
        <v>721</v>
      </c>
      <c r="O121" s="2" t="s">
        <v>29</v>
      </c>
      <c r="P121" s="2"/>
    </row>
    <row r="122" customFormat="false" ht="35.05" hidden="false" customHeight="false" outlineLevel="0" collapsed="false">
      <c r="A122" s="2" t="s">
        <v>16</v>
      </c>
      <c r="B122" s="2" t="s">
        <v>17</v>
      </c>
      <c r="C122" s="2" t="s">
        <v>722</v>
      </c>
      <c r="D122" s="2" t="s">
        <v>19</v>
      </c>
      <c r="E122" s="2" t="s">
        <v>17</v>
      </c>
      <c r="F122" s="2" t="s">
        <v>723</v>
      </c>
      <c r="G122" s="2" t="s">
        <v>724</v>
      </c>
      <c r="H122" s="2" t="s">
        <v>256</v>
      </c>
      <c r="I122" s="2" t="s">
        <v>725</v>
      </c>
      <c r="J122" s="2" t="s">
        <v>24</v>
      </c>
      <c r="K122" s="2" t="s">
        <v>25</v>
      </c>
      <c r="L122" s="2" t="s">
        <v>726</v>
      </c>
      <c r="M122" s="2" t="s">
        <v>100</v>
      </c>
      <c r="N122" s="2" t="s">
        <v>727</v>
      </c>
      <c r="O122" s="2" t="s">
        <v>29</v>
      </c>
      <c r="P122" s="2"/>
    </row>
    <row r="123" customFormat="false" ht="35.05" hidden="false" customHeight="false" outlineLevel="0" collapsed="false">
      <c r="A123" s="2" t="s">
        <v>16</v>
      </c>
      <c r="B123" s="2" t="s">
        <v>51</v>
      </c>
      <c r="C123" s="2" t="s">
        <v>728</v>
      </c>
      <c r="D123" s="2" t="s">
        <v>33</v>
      </c>
      <c r="E123" s="2" t="s">
        <v>112</v>
      </c>
      <c r="F123" s="2" t="s">
        <v>729</v>
      </c>
      <c r="G123" s="2" t="s">
        <v>730</v>
      </c>
      <c r="H123" s="2" t="s">
        <v>731</v>
      </c>
      <c r="I123" s="2" t="s">
        <v>522</v>
      </c>
      <c r="J123" s="2" t="s">
        <v>24</v>
      </c>
      <c r="K123" s="2" t="s">
        <v>732</v>
      </c>
      <c r="L123" s="2" t="s">
        <v>523</v>
      </c>
      <c r="M123" s="2" t="s">
        <v>41</v>
      </c>
      <c r="N123" s="2" t="s">
        <v>733</v>
      </c>
      <c r="O123" s="2" t="s">
        <v>29</v>
      </c>
      <c r="P123" s="2"/>
    </row>
    <row r="124" customFormat="false" ht="23.85" hidden="false" customHeight="false" outlineLevel="0" collapsed="false">
      <c r="A124" s="2" t="s">
        <v>16</v>
      </c>
      <c r="B124" s="2" t="s">
        <v>51</v>
      </c>
      <c r="C124" s="2" t="s">
        <v>111</v>
      </c>
      <c r="D124" s="2" t="s">
        <v>33</v>
      </c>
      <c r="E124" s="2" t="s">
        <v>112</v>
      </c>
      <c r="F124" s="2" t="s">
        <v>734</v>
      </c>
      <c r="G124" s="2" t="s">
        <v>735</v>
      </c>
      <c r="H124" s="2" t="s">
        <v>314</v>
      </c>
      <c r="I124" s="2" t="s">
        <v>736</v>
      </c>
      <c r="J124" s="2" t="s">
        <v>24</v>
      </c>
      <c r="K124" s="2" t="s">
        <v>25</v>
      </c>
      <c r="L124" s="2" t="s">
        <v>737</v>
      </c>
      <c r="M124" s="2" t="s">
        <v>27</v>
      </c>
      <c r="N124" s="2" t="s">
        <v>738</v>
      </c>
      <c r="O124" s="2" t="s">
        <v>29</v>
      </c>
      <c r="P124" s="2"/>
    </row>
    <row r="125" customFormat="false" ht="35.05" hidden="false" customHeight="false" outlineLevel="0" collapsed="false">
      <c r="A125" s="2" t="s">
        <v>16</v>
      </c>
      <c r="B125" s="2" t="s">
        <v>51</v>
      </c>
      <c r="C125" s="2" t="s">
        <v>739</v>
      </c>
      <c r="D125" s="2" t="s">
        <v>71</v>
      </c>
      <c r="E125" s="2" t="s">
        <v>34</v>
      </c>
      <c r="F125" s="2" t="s">
        <v>740</v>
      </c>
      <c r="G125" s="2" t="s">
        <v>741</v>
      </c>
      <c r="H125" s="2" t="s">
        <v>731</v>
      </c>
      <c r="I125" s="2" t="s">
        <v>742</v>
      </c>
      <c r="J125" s="2" t="s">
        <v>24</v>
      </c>
      <c r="K125" s="2" t="s">
        <v>25</v>
      </c>
      <c r="L125" s="2" t="s">
        <v>743</v>
      </c>
      <c r="M125" s="2" t="s">
        <v>41</v>
      </c>
      <c r="N125" s="2" t="s">
        <v>744</v>
      </c>
      <c r="O125" s="2" t="s">
        <v>29</v>
      </c>
      <c r="P125" s="2"/>
    </row>
    <row r="126" customFormat="false" ht="35.05" hidden="false" customHeight="false" outlineLevel="0" collapsed="false">
      <c r="A126" s="2" t="s">
        <v>16</v>
      </c>
      <c r="B126" s="2" t="s">
        <v>43</v>
      </c>
      <c r="C126" s="2" t="s">
        <v>745</v>
      </c>
      <c r="D126" s="2" t="s">
        <v>45</v>
      </c>
      <c r="E126" s="2" t="s">
        <v>78</v>
      </c>
      <c r="F126" s="2" t="s">
        <v>746</v>
      </c>
      <c r="G126" s="2" t="s">
        <v>747</v>
      </c>
      <c r="H126" s="2" t="s">
        <v>332</v>
      </c>
      <c r="I126" s="2" t="s">
        <v>377</v>
      </c>
      <c r="J126" s="2" t="s">
        <v>24</v>
      </c>
      <c r="K126" s="2" t="s">
        <v>123</v>
      </c>
      <c r="L126" s="2" t="s">
        <v>748</v>
      </c>
      <c r="M126" s="2" t="s">
        <v>27</v>
      </c>
      <c r="N126" s="2" t="s">
        <v>749</v>
      </c>
      <c r="O126" s="2" t="s">
        <v>29</v>
      </c>
      <c r="P126" s="2"/>
    </row>
    <row r="127" customFormat="false" ht="35.05" hidden="false" customHeight="false" outlineLevel="0" collapsed="false">
      <c r="A127" s="2" t="s">
        <v>16</v>
      </c>
      <c r="B127" s="2" t="s">
        <v>43</v>
      </c>
      <c r="C127" s="2" t="s">
        <v>750</v>
      </c>
      <c r="D127" s="2" t="s">
        <v>45</v>
      </c>
      <c r="E127" s="2" t="s">
        <v>78</v>
      </c>
      <c r="F127" s="2" t="s">
        <v>751</v>
      </c>
      <c r="G127" s="2" t="s">
        <v>752</v>
      </c>
      <c r="H127" s="2" t="s">
        <v>332</v>
      </c>
      <c r="I127" s="2" t="s">
        <v>82</v>
      </c>
      <c r="J127" s="2" t="s">
        <v>24</v>
      </c>
      <c r="K127" s="2" t="s">
        <v>123</v>
      </c>
      <c r="L127" s="2" t="s">
        <v>753</v>
      </c>
      <c r="M127" s="2" t="s">
        <v>27</v>
      </c>
      <c r="N127" s="2" t="s">
        <v>754</v>
      </c>
      <c r="O127" s="2" t="s">
        <v>29</v>
      </c>
      <c r="P127" s="2"/>
    </row>
    <row r="128" customFormat="false" ht="35.05" hidden="false" customHeight="false" outlineLevel="0" collapsed="false">
      <c r="A128" s="4" t="s">
        <v>16</v>
      </c>
      <c r="B128" s="4" t="s">
        <v>51</v>
      </c>
      <c r="C128" s="4" t="s">
        <v>755</v>
      </c>
      <c r="D128" s="4" t="s">
        <v>45</v>
      </c>
      <c r="E128" s="4" t="s">
        <v>78</v>
      </c>
      <c r="F128" s="4" t="s">
        <v>756</v>
      </c>
      <c r="G128" s="4" t="s">
        <v>757</v>
      </c>
      <c r="H128" s="4" t="s">
        <v>332</v>
      </c>
      <c r="I128" s="4" t="s">
        <v>82</v>
      </c>
      <c r="J128" s="4" t="s">
        <v>541</v>
      </c>
      <c r="K128" s="4" t="s">
        <v>123</v>
      </c>
      <c r="L128" s="4" t="s">
        <v>758</v>
      </c>
      <c r="M128" s="4" t="s">
        <v>278</v>
      </c>
      <c r="N128" s="4" t="s">
        <v>759</v>
      </c>
      <c r="O128" s="4" t="s">
        <v>29</v>
      </c>
      <c r="P128" s="4" t="s">
        <v>760</v>
      </c>
    </row>
    <row r="129" customFormat="false" ht="35.05" hidden="false" customHeight="false" outlineLevel="0" collapsed="false">
      <c r="A129" s="4" t="s">
        <v>16</v>
      </c>
      <c r="B129" s="4" t="s">
        <v>51</v>
      </c>
      <c r="C129" s="4" t="s">
        <v>761</v>
      </c>
      <c r="D129" s="4" t="s">
        <v>45</v>
      </c>
      <c r="E129" s="4" t="s">
        <v>78</v>
      </c>
      <c r="F129" s="4" t="s">
        <v>762</v>
      </c>
      <c r="G129" s="4" t="s">
        <v>763</v>
      </c>
      <c r="H129" s="4" t="s">
        <v>731</v>
      </c>
      <c r="I129" s="4" t="s">
        <v>764</v>
      </c>
      <c r="J129" s="4" t="s">
        <v>541</v>
      </c>
      <c r="K129" s="4" t="s">
        <v>123</v>
      </c>
      <c r="L129" s="4" t="s">
        <v>554</v>
      </c>
      <c r="M129" s="4" t="s">
        <v>278</v>
      </c>
      <c r="N129" s="4" t="s">
        <v>765</v>
      </c>
      <c r="O129" s="4" t="s">
        <v>29</v>
      </c>
      <c r="P129" s="4" t="s">
        <v>766</v>
      </c>
    </row>
    <row r="130" customFormat="false" ht="35.05" hidden="false" customHeight="false" outlineLevel="0" collapsed="false">
      <c r="A130" s="2" t="s">
        <v>16</v>
      </c>
      <c r="B130" s="2" t="s">
        <v>51</v>
      </c>
      <c r="C130" s="2" t="s">
        <v>767</v>
      </c>
      <c r="D130" s="2" t="s">
        <v>45</v>
      </c>
      <c r="E130" s="2" t="s">
        <v>78</v>
      </c>
      <c r="F130" s="2" t="s">
        <v>768</v>
      </c>
      <c r="G130" s="2" t="s">
        <v>769</v>
      </c>
      <c r="H130" s="2" t="s">
        <v>332</v>
      </c>
      <c r="I130" s="2" t="s">
        <v>106</v>
      </c>
      <c r="J130" s="2" t="s">
        <v>24</v>
      </c>
      <c r="K130" s="2" t="s">
        <v>123</v>
      </c>
      <c r="L130" s="2" t="s">
        <v>770</v>
      </c>
      <c r="M130" s="2" t="s">
        <v>27</v>
      </c>
      <c r="N130" s="2" t="s">
        <v>771</v>
      </c>
      <c r="O130" s="2" t="s">
        <v>29</v>
      </c>
      <c r="P130" s="2"/>
    </row>
    <row r="131" customFormat="false" ht="57.45" hidden="false" customHeight="false" outlineLevel="0" collapsed="false">
      <c r="A131" s="2" t="s">
        <v>16</v>
      </c>
      <c r="B131" s="2" t="s">
        <v>198</v>
      </c>
      <c r="C131" s="2" t="s">
        <v>772</v>
      </c>
      <c r="D131" s="2" t="s">
        <v>200</v>
      </c>
      <c r="E131" s="2" t="s">
        <v>78</v>
      </c>
      <c r="F131" s="2" t="s">
        <v>773</v>
      </c>
      <c r="G131" s="2" t="s">
        <v>774</v>
      </c>
      <c r="H131" s="2" t="s">
        <v>731</v>
      </c>
      <c r="I131" s="2" t="s">
        <v>775</v>
      </c>
      <c r="J131" s="2" t="s">
        <v>455</v>
      </c>
      <c r="K131" s="2" t="s">
        <v>776</v>
      </c>
      <c r="L131" s="2" t="s">
        <v>777</v>
      </c>
      <c r="M131" s="2" t="s">
        <v>41</v>
      </c>
      <c r="N131" s="2" t="s">
        <v>778</v>
      </c>
      <c r="O131" s="2" t="s">
        <v>29</v>
      </c>
      <c r="P131" s="2" t="s">
        <v>779</v>
      </c>
    </row>
    <row r="132" customFormat="false" ht="35.05" hidden="false" customHeight="false" outlineLevel="0" collapsed="false">
      <c r="A132" s="2" t="s">
        <v>16</v>
      </c>
      <c r="B132" s="2" t="s">
        <v>51</v>
      </c>
      <c r="C132" s="2" t="s">
        <v>780</v>
      </c>
      <c r="D132" s="2" t="s">
        <v>53</v>
      </c>
      <c r="E132" s="2" t="s">
        <v>78</v>
      </c>
      <c r="F132" s="2" t="s">
        <v>781</v>
      </c>
      <c r="G132" s="2" t="s">
        <v>782</v>
      </c>
      <c r="H132" s="2" t="s">
        <v>731</v>
      </c>
      <c r="I132" s="2" t="s">
        <v>590</v>
      </c>
      <c r="J132" s="2" t="s">
        <v>24</v>
      </c>
      <c r="K132" s="2" t="s">
        <v>783</v>
      </c>
      <c r="L132" s="2" t="s">
        <v>287</v>
      </c>
      <c r="M132" s="2" t="s">
        <v>41</v>
      </c>
      <c r="N132" s="2" t="s">
        <v>784</v>
      </c>
      <c r="O132" s="2" t="s">
        <v>29</v>
      </c>
      <c r="P132" s="2"/>
    </row>
    <row r="133" customFormat="false" ht="57.45" hidden="false" customHeight="false" outlineLevel="0" collapsed="false">
      <c r="A133" s="4" t="s">
        <v>16</v>
      </c>
      <c r="B133" s="4" t="s">
        <v>51</v>
      </c>
      <c r="C133" s="4" t="s">
        <v>785</v>
      </c>
      <c r="D133" s="4" t="s">
        <v>71</v>
      </c>
      <c r="E133" s="4" t="s">
        <v>34</v>
      </c>
      <c r="F133" s="4" t="s">
        <v>786</v>
      </c>
      <c r="G133" s="4" t="s">
        <v>787</v>
      </c>
      <c r="H133" s="4" t="s">
        <v>332</v>
      </c>
      <c r="I133" s="4" t="s">
        <v>788</v>
      </c>
      <c r="J133" s="4" t="s">
        <v>455</v>
      </c>
      <c r="K133" s="4" t="s">
        <v>25</v>
      </c>
      <c r="L133" s="4" t="s">
        <v>597</v>
      </c>
      <c r="M133" s="4" t="s">
        <v>278</v>
      </c>
      <c r="N133" s="4" t="s">
        <v>789</v>
      </c>
      <c r="O133" s="4" t="s">
        <v>29</v>
      </c>
      <c r="P133" s="4" t="s">
        <v>790</v>
      </c>
    </row>
    <row r="134" customFormat="false" ht="35.05" hidden="false" customHeight="false" outlineLevel="0" collapsed="false">
      <c r="A134" s="2" t="s">
        <v>16</v>
      </c>
      <c r="B134" s="2" t="s">
        <v>51</v>
      </c>
      <c r="C134" s="2" t="s">
        <v>791</v>
      </c>
      <c r="D134" s="2" t="s">
        <v>53</v>
      </c>
      <c r="E134" s="2" t="s">
        <v>34</v>
      </c>
      <c r="F134" s="2" t="s">
        <v>792</v>
      </c>
      <c r="G134" s="2" t="s">
        <v>793</v>
      </c>
      <c r="H134" s="2" t="s">
        <v>706</v>
      </c>
      <c r="I134" s="2" t="s">
        <v>794</v>
      </c>
      <c r="J134" s="2" t="s">
        <v>24</v>
      </c>
      <c r="K134" s="2" t="s">
        <v>25</v>
      </c>
      <c r="L134" s="2" t="s">
        <v>795</v>
      </c>
      <c r="M134" s="2" t="s">
        <v>27</v>
      </c>
      <c r="N134" s="2" t="s">
        <v>796</v>
      </c>
      <c r="O134" s="2" t="s">
        <v>29</v>
      </c>
      <c r="P134" s="2"/>
    </row>
    <row r="135" customFormat="false" ht="35.05" hidden="false" customHeight="false" outlineLevel="0" collapsed="false">
      <c r="A135" s="2" t="s">
        <v>94</v>
      </c>
      <c r="B135" s="2" t="s">
        <v>31</v>
      </c>
      <c r="C135" s="2" t="s">
        <v>797</v>
      </c>
      <c r="D135" s="2" t="s">
        <v>33</v>
      </c>
      <c r="E135" s="2" t="s">
        <v>78</v>
      </c>
      <c r="F135" s="2" t="s">
        <v>798</v>
      </c>
      <c r="G135" s="2" t="s">
        <v>799</v>
      </c>
      <c r="H135" s="2" t="s">
        <v>521</v>
      </c>
      <c r="I135" s="2" t="s">
        <v>514</v>
      </c>
      <c r="J135" s="2" t="s">
        <v>24</v>
      </c>
      <c r="K135" s="2" t="s">
        <v>800</v>
      </c>
      <c r="L135" s="2" t="s">
        <v>287</v>
      </c>
      <c r="M135" s="2" t="s">
        <v>41</v>
      </c>
      <c r="N135" s="2" t="s">
        <v>801</v>
      </c>
      <c r="O135" s="2" t="s">
        <v>29</v>
      </c>
      <c r="P135" s="2" t="s">
        <v>802</v>
      </c>
    </row>
    <row r="136" customFormat="false" ht="35.05" hidden="false" customHeight="false" outlineLevel="0" collapsed="false">
      <c r="A136" s="2" t="s">
        <v>94</v>
      </c>
      <c r="B136" s="2" t="s">
        <v>43</v>
      </c>
      <c r="C136" s="2" t="s">
        <v>803</v>
      </c>
      <c r="D136" s="2" t="s">
        <v>45</v>
      </c>
      <c r="E136" s="2" t="s">
        <v>78</v>
      </c>
      <c r="F136" s="2" t="s">
        <v>804</v>
      </c>
      <c r="G136" s="2" t="s">
        <v>805</v>
      </c>
      <c r="H136" s="2" t="s">
        <v>521</v>
      </c>
      <c r="I136" s="2" t="s">
        <v>806</v>
      </c>
      <c r="J136" s="2" t="s">
        <v>24</v>
      </c>
      <c r="K136" s="2" t="s">
        <v>607</v>
      </c>
      <c r="L136" s="2" t="s">
        <v>287</v>
      </c>
      <c r="M136" s="2" t="s">
        <v>41</v>
      </c>
      <c r="N136" s="2" t="s">
        <v>807</v>
      </c>
      <c r="O136" s="2" t="s">
        <v>29</v>
      </c>
      <c r="P136" s="2" t="s">
        <v>808</v>
      </c>
    </row>
    <row r="137" customFormat="false" ht="35.05" hidden="false" customHeight="false" outlineLevel="0" collapsed="false">
      <c r="A137" s="2" t="s">
        <v>94</v>
      </c>
      <c r="B137" s="2" t="s">
        <v>198</v>
      </c>
      <c r="C137" s="2" t="s">
        <v>358</v>
      </c>
      <c r="D137" s="2" t="s">
        <v>200</v>
      </c>
      <c r="E137" s="2" t="s">
        <v>78</v>
      </c>
      <c r="F137" s="2" t="s">
        <v>809</v>
      </c>
      <c r="G137" s="2" t="s">
        <v>810</v>
      </c>
      <c r="H137" s="2" t="s">
        <v>811</v>
      </c>
      <c r="I137" s="2" t="s">
        <v>812</v>
      </c>
      <c r="J137" s="2" t="s">
        <v>24</v>
      </c>
      <c r="K137" s="2" t="s">
        <v>813</v>
      </c>
      <c r="L137" s="2" t="s">
        <v>287</v>
      </c>
      <c r="M137" s="2" t="s">
        <v>41</v>
      </c>
      <c r="N137" s="2" t="s">
        <v>814</v>
      </c>
      <c r="O137" s="2" t="s">
        <v>29</v>
      </c>
      <c r="P137" s="2" t="s">
        <v>815</v>
      </c>
    </row>
    <row r="138" customFormat="false" ht="23.85" hidden="false" customHeight="false" outlineLevel="0" collapsed="false">
      <c r="A138" s="2" t="s">
        <v>94</v>
      </c>
      <c r="B138" s="2" t="s">
        <v>51</v>
      </c>
      <c r="C138" s="2" t="s">
        <v>816</v>
      </c>
      <c r="D138" s="2" t="s">
        <v>53</v>
      </c>
      <c r="E138" s="2" t="s">
        <v>78</v>
      </c>
      <c r="F138" s="2" t="s">
        <v>817</v>
      </c>
      <c r="G138" s="2" t="s">
        <v>818</v>
      </c>
      <c r="H138" s="2" t="s">
        <v>521</v>
      </c>
      <c r="I138" s="2" t="s">
        <v>819</v>
      </c>
      <c r="J138" s="2" t="s">
        <v>24</v>
      </c>
      <c r="K138" s="2" t="s">
        <v>820</v>
      </c>
      <c r="L138" s="2" t="s">
        <v>287</v>
      </c>
      <c r="M138" s="2" t="s">
        <v>41</v>
      </c>
      <c r="N138" s="2" t="s">
        <v>821</v>
      </c>
      <c r="O138" s="2" t="s">
        <v>29</v>
      </c>
      <c r="P138" s="2" t="s">
        <v>822</v>
      </c>
    </row>
    <row r="139" customFormat="false" ht="23.85" hidden="false" customHeight="false" outlineLevel="0" collapsed="false">
      <c r="A139" s="2" t="s">
        <v>94</v>
      </c>
      <c r="B139" s="2" t="s">
        <v>51</v>
      </c>
      <c r="C139" s="2" t="s">
        <v>823</v>
      </c>
      <c r="D139" s="2" t="s">
        <v>53</v>
      </c>
      <c r="E139" s="2" t="s">
        <v>78</v>
      </c>
      <c r="F139" s="2" t="s">
        <v>824</v>
      </c>
      <c r="G139" s="2" t="s">
        <v>825</v>
      </c>
      <c r="H139" s="2" t="s">
        <v>521</v>
      </c>
      <c r="I139" s="2" t="s">
        <v>826</v>
      </c>
      <c r="J139" s="2" t="s">
        <v>24</v>
      </c>
      <c r="K139" s="2" t="s">
        <v>827</v>
      </c>
      <c r="L139" s="2" t="s">
        <v>287</v>
      </c>
      <c r="M139" s="2" t="s">
        <v>41</v>
      </c>
      <c r="N139" s="2" t="s">
        <v>828</v>
      </c>
      <c r="O139" s="2" t="s">
        <v>29</v>
      </c>
      <c r="P139" s="2" t="s">
        <v>829</v>
      </c>
    </row>
    <row r="140" customFormat="false" ht="23.85" hidden="false" customHeight="false" outlineLevel="0" collapsed="false">
      <c r="A140" s="2" t="s">
        <v>94</v>
      </c>
      <c r="B140" s="2" t="s">
        <v>51</v>
      </c>
      <c r="C140" s="2" t="s">
        <v>830</v>
      </c>
      <c r="D140" s="2" t="s">
        <v>53</v>
      </c>
      <c r="E140" s="2" t="s">
        <v>78</v>
      </c>
      <c r="F140" s="2" t="s">
        <v>831</v>
      </c>
      <c r="G140" s="2" t="s">
        <v>832</v>
      </c>
      <c r="H140" s="2" t="s">
        <v>521</v>
      </c>
      <c r="I140" s="2" t="s">
        <v>660</v>
      </c>
      <c r="J140" s="2" t="s">
        <v>24</v>
      </c>
      <c r="K140" s="2" t="s">
        <v>607</v>
      </c>
      <c r="L140" s="2" t="s">
        <v>287</v>
      </c>
      <c r="M140" s="2" t="s">
        <v>41</v>
      </c>
      <c r="N140" s="2" t="s">
        <v>833</v>
      </c>
      <c r="O140" s="2" t="s">
        <v>29</v>
      </c>
      <c r="P140" s="2" t="s">
        <v>834</v>
      </c>
    </row>
    <row r="141" customFormat="false" ht="35.05" hidden="false" customHeight="false" outlineLevel="0" collapsed="false">
      <c r="A141" s="2" t="s">
        <v>94</v>
      </c>
      <c r="B141" s="2" t="s">
        <v>43</v>
      </c>
      <c r="C141" s="2" t="s">
        <v>835</v>
      </c>
      <c r="D141" s="2" t="s">
        <v>45</v>
      </c>
      <c r="E141" s="2" t="s">
        <v>78</v>
      </c>
      <c r="F141" s="2" t="s">
        <v>836</v>
      </c>
      <c r="G141" s="2" t="s">
        <v>837</v>
      </c>
      <c r="H141" s="2" t="s">
        <v>521</v>
      </c>
      <c r="I141" s="2" t="s">
        <v>838</v>
      </c>
      <c r="J141" s="2" t="s">
        <v>24</v>
      </c>
      <c r="K141" s="2" t="s">
        <v>839</v>
      </c>
      <c r="L141" s="2" t="s">
        <v>531</v>
      </c>
      <c r="M141" s="2" t="s">
        <v>41</v>
      </c>
      <c r="N141" s="2" t="s">
        <v>840</v>
      </c>
      <c r="O141" s="2" t="s">
        <v>29</v>
      </c>
      <c r="P141" s="2" t="s">
        <v>841</v>
      </c>
    </row>
    <row r="142" customFormat="false" ht="35.05" hidden="false" customHeight="false" outlineLevel="0" collapsed="false">
      <c r="A142" s="2" t="s">
        <v>94</v>
      </c>
      <c r="B142" s="2" t="s">
        <v>43</v>
      </c>
      <c r="C142" s="2" t="s">
        <v>842</v>
      </c>
      <c r="D142" s="2" t="s">
        <v>45</v>
      </c>
      <c r="E142" s="2" t="s">
        <v>78</v>
      </c>
      <c r="F142" s="2" t="s">
        <v>843</v>
      </c>
      <c r="G142" s="2" t="s">
        <v>844</v>
      </c>
      <c r="H142" s="2" t="s">
        <v>521</v>
      </c>
      <c r="I142" s="2" t="s">
        <v>82</v>
      </c>
      <c r="J142" s="2" t="s">
        <v>24</v>
      </c>
      <c r="K142" s="2" t="s">
        <v>845</v>
      </c>
      <c r="L142" s="2" t="s">
        <v>597</v>
      </c>
      <c r="M142" s="2" t="s">
        <v>41</v>
      </c>
      <c r="N142" s="2" t="s">
        <v>846</v>
      </c>
      <c r="O142" s="2" t="s">
        <v>29</v>
      </c>
      <c r="P142" s="2" t="s">
        <v>847</v>
      </c>
    </row>
    <row r="143" customFormat="false" ht="35.05" hidden="false" customHeight="false" outlineLevel="0" collapsed="false">
      <c r="A143" s="2" t="s">
        <v>94</v>
      </c>
      <c r="B143" s="2" t="s">
        <v>118</v>
      </c>
      <c r="C143" s="2" t="s">
        <v>848</v>
      </c>
      <c r="D143" s="2" t="s">
        <v>120</v>
      </c>
      <c r="E143" s="2" t="s">
        <v>78</v>
      </c>
      <c r="F143" s="2" t="s">
        <v>849</v>
      </c>
      <c r="G143" s="2" t="s">
        <v>850</v>
      </c>
      <c r="H143" s="2" t="s">
        <v>332</v>
      </c>
      <c r="I143" s="2" t="s">
        <v>851</v>
      </c>
      <c r="J143" s="2" t="s">
        <v>24</v>
      </c>
      <c r="K143" s="2" t="s">
        <v>123</v>
      </c>
      <c r="L143" s="2" t="s">
        <v>852</v>
      </c>
      <c r="M143" s="2" t="s">
        <v>278</v>
      </c>
      <c r="N143" s="2" t="s">
        <v>853</v>
      </c>
      <c r="O143" s="2" t="s">
        <v>29</v>
      </c>
      <c r="P143" s="2" t="s">
        <v>854</v>
      </c>
    </row>
    <row r="144" customFormat="false" ht="35.05" hidden="false" customHeight="false" outlineLevel="0" collapsed="false">
      <c r="A144" s="2" t="s">
        <v>94</v>
      </c>
      <c r="B144" s="2" t="s">
        <v>198</v>
      </c>
      <c r="C144" s="2" t="s">
        <v>855</v>
      </c>
      <c r="D144" s="2" t="s">
        <v>200</v>
      </c>
      <c r="E144" s="2" t="s">
        <v>78</v>
      </c>
      <c r="F144" s="2" t="s">
        <v>856</v>
      </c>
      <c r="G144" s="2" t="s">
        <v>857</v>
      </c>
      <c r="H144" s="2" t="s">
        <v>858</v>
      </c>
      <c r="I144" s="2" t="s">
        <v>140</v>
      </c>
      <c r="J144" s="2" t="s">
        <v>24</v>
      </c>
      <c r="K144" s="2" t="s">
        <v>859</v>
      </c>
      <c r="L144" s="2" t="s">
        <v>141</v>
      </c>
      <c r="M144" s="2" t="s">
        <v>64</v>
      </c>
      <c r="N144" s="2" t="s">
        <v>860</v>
      </c>
      <c r="O144" s="2" t="s">
        <v>29</v>
      </c>
      <c r="P144" s="2" t="s">
        <v>861</v>
      </c>
    </row>
    <row r="145" customFormat="false" ht="35.05" hidden="false" customHeight="false" outlineLevel="0" collapsed="false">
      <c r="A145" s="2" t="s">
        <v>94</v>
      </c>
      <c r="B145" s="2" t="s">
        <v>198</v>
      </c>
      <c r="C145" s="2" t="s">
        <v>862</v>
      </c>
      <c r="D145" s="2" t="s">
        <v>200</v>
      </c>
      <c r="E145" s="2" t="s">
        <v>78</v>
      </c>
      <c r="F145" s="2" t="s">
        <v>863</v>
      </c>
      <c r="G145" s="2" t="s">
        <v>864</v>
      </c>
      <c r="H145" s="2" t="s">
        <v>332</v>
      </c>
      <c r="I145" s="2" t="s">
        <v>62</v>
      </c>
      <c r="J145" s="2" t="s">
        <v>24</v>
      </c>
      <c r="K145" s="2" t="s">
        <v>123</v>
      </c>
      <c r="L145" s="2" t="s">
        <v>865</v>
      </c>
      <c r="M145" s="2" t="s">
        <v>27</v>
      </c>
      <c r="N145" s="2" t="s">
        <v>866</v>
      </c>
      <c r="O145" s="2" t="s">
        <v>29</v>
      </c>
      <c r="P145" s="2" t="s">
        <v>867</v>
      </c>
    </row>
    <row r="146" customFormat="false" ht="23.85" hidden="false" customHeight="false" outlineLevel="0" collapsed="false">
      <c r="A146" s="2" t="s">
        <v>94</v>
      </c>
      <c r="B146" s="2" t="s">
        <v>43</v>
      </c>
      <c r="C146" s="2" t="s">
        <v>868</v>
      </c>
      <c r="D146" s="2" t="s">
        <v>45</v>
      </c>
      <c r="E146" s="2" t="s">
        <v>78</v>
      </c>
      <c r="F146" s="2" t="s">
        <v>869</v>
      </c>
      <c r="G146" s="2" t="s">
        <v>870</v>
      </c>
      <c r="H146" s="2" t="s">
        <v>871</v>
      </c>
      <c r="I146" s="2" t="s">
        <v>82</v>
      </c>
      <c r="J146" s="2" t="s">
        <v>24</v>
      </c>
      <c r="K146" s="2" t="s">
        <v>123</v>
      </c>
      <c r="L146" s="2" t="s">
        <v>597</v>
      </c>
      <c r="M146" s="2" t="s">
        <v>41</v>
      </c>
      <c r="N146" s="2" t="s">
        <v>872</v>
      </c>
      <c r="O146" s="2" t="s">
        <v>29</v>
      </c>
      <c r="P146" s="2" t="s">
        <v>873</v>
      </c>
    </row>
    <row r="147" customFormat="false" ht="35.05" hidden="false" customHeight="false" outlineLevel="0" collapsed="false">
      <c r="A147" s="2" t="s">
        <v>94</v>
      </c>
      <c r="B147" s="2" t="s">
        <v>43</v>
      </c>
      <c r="C147" s="2" t="s">
        <v>874</v>
      </c>
      <c r="D147" s="2" t="s">
        <v>45</v>
      </c>
      <c r="E147" s="2" t="s">
        <v>78</v>
      </c>
      <c r="F147" s="2" t="s">
        <v>875</v>
      </c>
      <c r="G147" s="2" t="s">
        <v>876</v>
      </c>
      <c r="H147" s="2" t="s">
        <v>332</v>
      </c>
      <c r="I147" s="2" t="s">
        <v>57</v>
      </c>
      <c r="J147" s="2" t="s">
        <v>24</v>
      </c>
      <c r="K147" s="2" t="s">
        <v>25</v>
      </c>
      <c r="L147" s="2" t="s">
        <v>877</v>
      </c>
      <c r="M147" s="2" t="s">
        <v>278</v>
      </c>
      <c r="N147" s="2" t="s">
        <v>878</v>
      </c>
      <c r="O147" s="2" t="s">
        <v>29</v>
      </c>
      <c r="P147" s="2" t="s">
        <v>879</v>
      </c>
    </row>
    <row r="148" customFormat="false" ht="35.05" hidden="false" customHeight="false" outlineLevel="0" collapsed="false">
      <c r="A148" s="2" t="s">
        <v>94</v>
      </c>
      <c r="B148" s="2" t="s">
        <v>43</v>
      </c>
      <c r="C148" s="2" t="s">
        <v>880</v>
      </c>
      <c r="D148" s="2" t="s">
        <v>45</v>
      </c>
      <c r="E148" s="2" t="s">
        <v>78</v>
      </c>
      <c r="F148" s="2" t="s">
        <v>881</v>
      </c>
      <c r="G148" s="2" t="s">
        <v>882</v>
      </c>
      <c r="H148" s="2" t="s">
        <v>332</v>
      </c>
      <c r="I148" s="2" t="s">
        <v>237</v>
      </c>
      <c r="J148" s="2" t="s">
        <v>24</v>
      </c>
      <c r="K148" s="2" t="s">
        <v>123</v>
      </c>
      <c r="L148" s="2" t="s">
        <v>883</v>
      </c>
      <c r="M148" s="2" t="s">
        <v>64</v>
      </c>
      <c r="N148" s="2" t="s">
        <v>884</v>
      </c>
      <c r="O148" s="2" t="s">
        <v>29</v>
      </c>
      <c r="P148" s="2" t="s">
        <v>885</v>
      </c>
    </row>
    <row r="149" customFormat="false" ht="35.05" hidden="false" customHeight="false" outlineLevel="0" collapsed="false">
      <c r="A149" s="4" t="s">
        <v>94</v>
      </c>
      <c r="B149" s="4" t="s">
        <v>43</v>
      </c>
      <c r="C149" s="4" t="s">
        <v>886</v>
      </c>
      <c r="D149" s="4" t="s">
        <v>45</v>
      </c>
      <c r="E149" s="4" t="s">
        <v>78</v>
      </c>
      <c r="F149" s="4" t="s">
        <v>887</v>
      </c>
      <c r="G149" s="4" t="s">
        <v>888</v>
      </c>
      <c r="H149" s="4" t="s">
        <v>889</v>
      </c>
      <c r="I149" s="4" t="s">
        <v>163</v>
      </c>
      <c r="J149" s="4" t="s">
        <v>24</v>
      </c>
      <c r="K149" s="4" t="s">
        <v>25</v>
      </c>
      <c r="L149" s="4" t="s">
        <v>883</v>
      </c>
      <c r="M149" s="4" t="s">
        <v>64</v>
      </c>
      <c r="N149" s="4" t="s">
        <v>890</v>
      </c>
      <c r="O149" s="4" t="s">
        <v>280</v>
      </c>
      <c r="P149" s="4" t="s">
        <v>891</v>
      </c>
    </row>
    <row r="150" customFormat="false" ht="23.85" hidden="false" customHeight="false" outlineLevel="0" collapsed="false">
      <c r="A150" s="2" t="s">
        <v>94</v>
      </c>
      <c r="B150" s="2" t="s">
        <v>31</v>
      </c>
      <c r="C150" s="2" t="s">
        <v>892</v>
      </c>
      <c r="D150" s="2" t="s">
        <v>33</v>
      </c>
      <c r="E150" s="2" t="s">
        <v>78</v>
      </c>
      <c r="F150" s="2" t="s">
        <v>893</v>
      </c>
      <c r="G150" s="2" t="s">
        <v>894</v>
      </c>
      <c r="H150" s="2" t="s">
        <v>521</v>
      </c>
      <c r="I150" s="2" t="s">
        <v>146</v>
      </c>
      <c r="J150" s="2" t="s">
        <v>24</v>
      </c>
      <c r="K150" s="2" t="s">
        <v>895</v>
      </c>
      <c r="L150" s="2" t="s">
        <v>597</v>
      </c>
      <c r="M150" s="2" t="s">
        <v>41</v>
      </c>
      <c r="N150" s="2" t="s">
        <v>896</v>
      </c>
      <c r="O150" s="2" t="s">
        <v>29</v>
      </c>
      <c r="P150" s="2" t="s">
        <v>897</v>
      </c>
    </row>
    <row r="151" customFormat="false" ht="35.05" hidden="false" customHeight="false" outlineLevel="0" collapsed="false">
      <c r="A151" s="4" t="s">
        <v>94</v>
      </c>
      <c r="B151" s="4" t="s">
        <v>43</v>
      </c>
      <c r="C151" s="4" t="s">
        <v>898</v>
      </c>
      <c r="D151" s="4" t="s">
        <v>45</v>
      </c>
      <c r="E151" s="4" t="s">
        <v>78</v>
      </c>
      <c r="F151" s="4" t="s">
        <v>899</v>
      </c>
      <c r="G151" s="4" t="s">
        <v>900</v>
      </c>
      <c r="H151" s="4" t="s">
        <v>332</v>
      </c>
      <c r="I151" s="4" t="s">
        <v>89</v>
      </c>
      <c r="J151" s="4" t="s">
        <v>24</v>
      </c>
      <c r="K151" s="4" t="s">
        <v>25</v>
      </c>
      <c r="L151" s="4" t="s">
        <v>901</v>
      </c>
      <c r="M151" s="4" t="s">
        <v>278</v>
      </c>
      <c r="N151" s="4" t="s">
        <v>902</v>
      </c>
      <c r="O151" s="4" t="s">
        <v>280</v>
      </c>
      <c r="P151" s="4" t="s">
        <v>903</v>
      </c>
    </row>
    <row r="152" customFormat="false" ht="23.85" hidden="false" customHeight="false" outlineLevel="0" collapsed="false">
      <c r="A152" s="4" t="s">
        <v>94</v>
      </c>
      <c r="B152" s="4" t="s">
        <v>43</v>
      </c>
      <c r="C152" s="4" t="s">
        <v>904</v>
      </c>
      <c r="D152" s="4" t="s">
        <v>45</v>
      </c>
      <c r="E152" s="4" t="s">
        <v>78</v>
      </c>
      <c r="F152" s="4" t="s">
        <v>905</v>
      </c>
      <c r="G152" s="4" t="s">
        <v>906</v>
      </c>
      <c r="H152" s="4" t="s">
        <v>332</v>
      </c>
      <c r="I152" s="4" t="s">
        <v>89</v>
      </c>
      <c r="J152" s="4" t="s">
        <v>24</v>
      </c>
      <c r="K152" s="4" t="s">
        <v>25</v>
      </c>
      <c r="L152" s="4" t="s">
        <v>901</v>
      </c>
      <c r="M152" s="4" t="s">
        <v>278</v>
      </c>
      <c r="N152" s="4" t="s">
        <v>902</v>
      </c>
      <c r="O152" s="4" t="s">
        <v>280</v>
      </c>
      <c r="P152" s="4" t="s">
        <v>903</v>
      </c>
    </row>
    <row r="153" customFormat="false" ht="23.85" hidden="false" customHeight="false" outlineLevel="0" collapsed="false">
      <c r="A153" s="4" t="s">
        <v>94</v>
      </c>
      <c r="B153" s="4" t="s">
        <v>43</v>
      </c>
      <c r="C153" s="4" t="s">
        <v>907</v>
      </c>
      <c r="D153" s="4" t="s">
        <v>45</v>
      </c>
      <c r="E153" s="4" t="s">
        <v>78</v>
      </c>
      <c r="F153" s="4" t="s">
        <v>908</v>
      </c>
      <c r="G153" s="4" t="s">
        <v>909</v>
      </c>
      <c r="H153" s="4" t="s">
        <v>332</v>
      </c>
      <c r="I153" s="4" t="s">
        <v>89</v>
      </c>
      <c r="J153" s="4" t="s">
        <v>24</v>
      </c>
      <c r="K153" s="4" t="s">
        <v>25</v>
      </c>
      <c r="L153" s="4" t="s">
        <v>901</v>
      </c>
      <c r="M153" s="4" t="s">
        <v>278</v>
      </c>
      <c r="N153" s="4" t="s">
        <v>902</v>
      </c>
      <c r="O153" s="4" t="s">
        <v>280</v>
      </c>
      <c r="P153" s="4" t="s">
        <v>903</v>
      </c>
    </row>
    <row r="154" customFormat="false" ht="23.85" hidden="false" customHeight="false" outlineLevel="0" collapsed="false">
      <c r="A154" s="4" t="s">
        <v>94</v>
      </c>
      <c r="B154" s="4" t="s">
        <v>51</v>
      </c>
      <c r="C154" s="4" t="s">
        <v>910</v>
      </c>
      <c r="D154" s="4" t="s">
        <v>45</v>
      </c>
      <c r="E154" s="4" t="s">
        <v>78</v>
      </c>
      <c r="F154" s="4" t="s">
        <v>911</v>
      </c>
      <c r="G154" s="4" t="s">
        <v>912</v>
      </c>
      <c r="H154" s="4" t="s">
        <v>332</v>
      </c>
      <c r="I154" s="4" t="s">
        <v>69</v>
      </c>
      <c r="J154" s="4" t="s">
        <v>24</v>
      </c>
      <c r="K154" s="4" t="s">
        <v>25</v>
      </c>
      <c r="L154" s="4" t="s">
        <v>913</v>
      </c>
      <c r="M154" s="4" t="s">
        <v>278</v>
      </c>
      <c r="N154" s="4" t="s">
        <v>914</v>
      </c>
      <c r="O154" s="4" t="s">
        <v>280</v>
      </c>
      <c r="P154" s="4" t="s">
        <v>903</v>
      </c>
    </row>
    <row r="155" customFormat="false" ht="23.85" hidden="false" customHeight="false" outlineLevel="0" collapsed="false">
      <c r="A155" s="4" t="s">
        <v>94</v>
      </c>
      <c r="B155" s="4" t="s">
        <v>51</v>
      </c>
      <c r="C155" s="4" t="s">
        <v>915</v>
      </c>
      <c r="D155" s="4" t="s">
        <v>53</v>
      </c>
      <c r="E155" s="4" t="s">
        <v>78</v>
      </c>
      <c r="F155" s="4" t="s">
        <v>916</v>
      </c>
      <c r="G155" s="4" t="s">
        <v>917</v>
      </c>
      <c r="H155" s="4" t="s">
        <v>332</v>
      </c>
      <c r="I155" s="4" t="s">
        <v>69</v>
      </c>
      <c r="J155" s="4" t="s">
        <v>24</v>
      </c>
      <c r="K155" s="4" t="s">
        <v>25</v>
      </c>
      <c r="L155" s="4" t="s">
        <v>913</v>
      </c>
      <c r="M155" s="4" t="s">
        <v>278</v>
      </c>
      <c r="N155" s="4" t="s">
        <v>914</v>
      </c>
      <c r="O155" s="4" t="s">
        <v>280</v>
      </c>
      <c r="P155" s="4" t="s">
        <v>903</v>
      </c>
    </row>
    <row r="156" customFormat="false" ht="35.05" hidden="false" customHeight="false" outlineLevel="0" collapsed="false">
      <c r="A156" s="2" t="s">
        <v>94</v>
      </c>
      <c r="B156" s="2" t="s">
        <v>51</v>
      </c>
      <c r="C156" s="2" t="s">
        <v>918</v>
      </c>
      <c r="D156" s="2" t="s">
        <v>53</v>
      </c>
      <c r="E156" s="2" t="s">
        <v>34</v>
      </c>
      <c r="F156" s="2" t="s">
        <v>919</v>
      </c>
      <c r="G156" s="2" t="s">
        <v>920</v>
      </c>
      <c r="H156" s="2" t="s">
        <v>921</v>
      </c>
      <c r="I156" s="2" t="s">
        <v>82</v>
      </c>
      <c r="J156" s="2" t="s">
        <v>24</v>
      </c>
      <c r="K156" s="2" t="s">
        <v>25</v>
      </c>
      <c r="L156" s="2" t="s">
        <v>922</v>
      </c>
      <c r="M156" s="2" t="s">
        <v>27</v>
      </c>
      <c r="N156" s="2" t="s">
        <v>923</v>
      </c>
      <c r="O156" s="2" t="s">
        <v>29</v>
      </c>
      <c r="P156" s="2" t="s">
        <v>924</v>
      </c>
    </row>
    <row r="157" customFormat="false" ht="23.85" hidden="false" customHeight="false" outlineLevel="0" collapsed="false">
      <c r="A157" s="2" t="s">
        <v>94</v>
      </c>
      <c r="B157" s="2" t="s">
        <v>51</v>
      </c>
      <c r="C157" s="2" t="s">
        <v>925</v>
      </c>
      <c r="D157" s="2" t="s">
        <v>53</v>
      </c>
      <c r="E157" s="2" t="s">
        <v>34</v>
      </c>
      <c r="F157" s="2" t="s">
        <v>926</v>
      </c>
      <c r="G157" s="2" t="s">
        <v>927</v>
      </c>
      <c r="H157" s="2" t="s">
        <v>928</v>
      </c>
      <c r="I157" s="2" t="s">
        <v>82</v>
      </c>
      <c r="J157" s="2" t="s">
        <v>24</v>
      </c>
      <c r="K157" s="2" t="s">
        <v>25</v>
      </c>
      <c r="L157" s="2" t="s">
        <v>929</v>
      </c>
      <c r="M157" s="2" t="s">
        <v>27</v>
      </c>
      <c r="N157" s="2" t="s">
        <v>930</v>
      </c>
      <c r="O157" s="2" t="s">
        <v>29</v>
      </c>
      <c r="P157" s="2" t="s">
        <v>931</v>
      </c>
    </row>
    <row r="158" customFormat="false" ht="35.05" hidden="false" customHeight="false" outlineLevel="0" collapsed="false">
      <c r="A158" s="2" t="s">
        <v>94</v>
      </c>
      <c r="B158" s="2" t="s">
        <v>51</v>
      </c>
      <c r="C158" s="2" t="s">
        <v>932</v>
      </c>
      <c r="D158" s="2" t="s">
        <v>53</v>
      </c>
      <c r="E158" s="2" t="s">
        <v>34</v>
      </c>
      <c r="F158" s="2" t="s">
        <v>933</v>
      </c>
      <c r="G158" s="2" t="s">
        <v>934</v>
      </c>
      <c r="H158" s="2" t="s">
        <v>935</v>
      </c>
      <c r="I158" s="2" t="s">
        <v>82</v>
      </c>
      <c r="J158" s="2" t="s">
        <v>24</v>
      </c>
      <c r="K158" s="2" t="s">
        <v>25</v>
      </c>
      <c r="L158" s="2" t="s">
        <v>936</v>
      </c>
      <c r="M158" s="2" t="s">
        <v>27</v>
      </c>
      <c r="N158" s="2" t="s">
        <v>937</v>
      </c>
      <c r="O158" s="2" t="s">
        <v>29</v>
      </c>
      <c r="P158" s="2" t="s">
        <v>938</v>
      </c>
    </row>
    <row r="159" customFormat="false" ht="23.85" hidden="false" customHeight="false" outlineLevel="0" collapsed="false">
      <c r="A159" s="4" t="s">
        <v>94</v>
      </c>
      <c r="B159" s="4" t="s">
        <v>51</v>
      </c>
      <c r="C159" s="4" t="s">
        <v>939</v>
      </c>
      <c r="D159" s="4" t="s">
        <v>53</v>
      </c>
      <c r="E159" s="4" t="s">
        <v>34</v>
      </c>
      <c r="F159" s="4" t="s">
        <v>940</v>
      </c>
      <c r="G159" s="4" t="s">
        <v>941</v>
      </c>
      <c r="H159" s="4" t="s">
        <v>942</v>
      </c>
      <c r="I159" s="4" t="s">
        <v>82</v>
      </c>
      <c r="J159" s="4" t="s">
        <v>24</v>
      </c>
      <c r="K159" s="4" t="s">
        <v>25</v>
      </c>
      <c r="L159" s="4" t="s">
        <v>943</v>
      </c>
      <c r="M159" s="4" t="s">
        <v>27</v>
      </c>
      <c r="N159" s="4" t="s">
        <v>944</v>
      </c>
      <c r="O159" s="4" t="s">
        <v>280</v>
      </c>
      <c r="P159" s="4" t="s">
        <v>945</v>
      </c>
    </row>
    <row r="160" customFormat="false" ht="35.05" hidden="false" customHeight="false" outlineLevel="0" collapsed="false">
      <c r="A160" s="2" t="s">
        <v>94</v>
      </c>
      <c r="B160" s="2" t="s">
        <v>17</v>
      </c>
      <c r="C160" s="2" t="s">
        <v>946</v>
      </c>
      <c r="D160" s="2" t="s">
        <v>19</v>
      </c>
      <c r="E160" s="2" t="s">
        <v>34</v>
      </c>
      <c r="F160" s="2" t="s">
        <v>947</v>
      </c>
      <c r="G160" s="2" t="s">
        <v>948</v>
      </c>
      <c r="H160" s="2" t="s">
        <v>949</v>
      </c>
      <c r="I160" s="2" t="s">
        <v>950</v>
      </c>
      <c r="J160" s="2" t="s">
        <v>24</v>
      </c>
      <c r="K160" s="2" t="s">
        <v>25</v>
      </c>
      <c r="L160" s="2" t="s">
        <v>951</v>
      </c>
      <c r="M160" s="2" t="s">
        <v>100</v>
      </c>
      <c r="N160" s="2" t="s">
        <v>952</v>
      </c>
      <c r="O160" s="2" t="s">
        <v>29</v>
      </c>
      <c r="P160" s="2" t="s">
        <v>953</v>
      </c>
    </row>
    <row r="161" customFormat="false" ht="35.05" hidden="false" customHeight="false" outlineLevel="0" collapsed="false">
      <c r="A161" s="4" t="s">
        <v>94</v>
      </c>
      <c r="B161" s="4" t="s">
        <v>17</v>
      </c>
      <c r="C161" s="4" t="s">
        <v>954</v>
      </c>
      <c r="D161" s="4" t="s">
        <v>19</v>
      </c>
      <c r="E161" s="4" t="s">
        <v>34</v>
      </c>
      <c r="F161" s="4" t="s">
        <v>955</v>
      </c>
      <c r="G161" s="4" t="s">
        <v>956</v>
      </c>
      <c r="H161" s="4" t="s">
        <v>949</v>
      </c>
      <c r="I161" s="4" t="s">
        <v>89</v>
      </c>
      <c r="J161" s="4" t="s">
        <v>24</v>
      </c>
      <c r="K161" s="4" t="s">
        <v>25</v>
      </c>
      <c r="L161" s="4" t="s">
        <v>957</v>
      </c>
      <c r="M161" s="4" t="s">
        <v>41</v>
      </c>
      <c r="N161" s="4" t="s">
        <v>958</v>
      </c>
      <c r="O161" s="4" t="s">
        <v>280</v>
      </c>
      <c r="P161" s="4" t="s">
        <v>959</v>
      </c>
    </row>
    <row r="162" customFormat="false" ht="35.05" hidden="false" customHeight="false" outlineLevel="0" collapsed="false">
      <c r="A162" s="2" t="s">
        <v>94</v>
      </c>
      <c r="B162" s="2" t="s">
        <v>51</v>
      </c>
      <c r="C162" s="2" t="s">
        <v>111</v>
      </c>
      <c r="D162" s="2" t="s">
        <v>33</v>
      </c>
      <c r="E162" s="2" t="s">
        <v>112</v>
      </c>
      <c r="F162" s="2" t="s">
        <v>960</v>
      </c>
      <c r="G162" s="2" t="s">
        <v>961</v>
      </c>
      <c r="H162" s="2" t="s">
        <v>691</v>
      </c>
      <c r="I162" s="2" t="s">
        <v>140</v>
      </c>
      <c r="J162" s="2" t="s">
        <v>24</v>
      </c>
      <c r="K162" s="2" t="s">
        <v>962</v>
      </c>
      <c r="L162" s="2" t="s">
        <v>686</v>
      </c>
      <c r="M162" s="2" t="s">
        <v>41</v>
      </c>
      <c r="N162" s="2" t="s">
        <v>963</v>
      </c>
      <c r="O162" s="2" t="s">
        <v>29</v>
      </c>
      <c r="P162" s="2" t="s">
        <v>964</v>
      </c>
    </row>
    <row r="163" customFormat="false" ht="35.05" hidden="false" customHeight="false" outlineLevel="0" collapsed="false">
      <c r="A163" s="2" t="s">
        <v>94</v>
      </c>
      <c r="B163" s="2" t="s">
        <v>51</v>
      </c>
      <c r="C163" s="2" t="s">
        <v>111</v>
      </c>
      <c r="D163" s="2" t="s">
        <v>33</v>
      </c>
      <c r="E163" s="2" t="s">
        <v>112</v>
      </c>
      <c r="F163" s="2" t="s">
        <v>965</v>
      </c>
      <c r="G163" s="2" t="s">
        <v>966</v>
      </c>
      <c r="H163" s="2" t="s">
        <v>691</v>
      </c>
      <c r="I163" s="2" t="s">
        <v>89</v>
      </c>
      <c r="J163" s="2" t="s">
        <v>24</v>
      </c>
      <c r="K163" s="2" t="s">
        <v>967</v>
      </c>
      <c r="L163" s="2" t="s">
        <v>968</v>
      </c>
      <c r="M163" s="2" t="s">
        <v>41</v>
      </c>
      <c r="N163" s="2" t="s">
        <v>969</v>
      </c>
      <c r="O163" s="2" t="s">
        <v>29</v>
      </c>
      <c r="P163" s="2" t="s">
        <v>970</v>
      </c>
    </row>
    <row r="164" customFormat="false" ht="35.05" hidden="false" customHeight="false" outlineLevel="0" collapsed="false">
      <c r="A164" s="2" t="s">
        <v>94</v>
      </c>
      <c r="B164" s="2" t="s">
        <v>31</v>
      </c>
      <c r="C164" s="2" t="s">
        <v>971</v>
      </c>
      <c r="D164" s="2" t="s">
        <v>33</v>
      </c>
      <c r="E164" s="2" t="s">
        <v>112</v>
      </c>
      <c r="F164" s="2" t="s">
        <v>972</v>
      </c>
      <c r="G164" s="2" t="s">
        <v>973</v>
      </c>
      <c r="H164" s="2" t="s">
        <v>691</v>
      </c>
      <c r="I164" s="2" t="s">
        <v>135</v>
      </c>
      <c r="J164" s="2" t="s">
        <v>24</v>
      </c>
      <c r="K164" s="2" t="s">
        <v>974</v>
      </c>
      <c r="L164" s="2" t="s">
        <v>975</v>
      </c>
      <c r="M164" s="2" t="s">
        <v>27</v>
      </c>
      <c r="N164" s="2" t="s">
        <v>976</v>
      </c>
      <c r="O164" s="2" t="s">
        <v>29</v>
      </c>
      <c r="P164" s="2" t="s">
        <v>977</v>
      </c>
    </row>
    <row r="165" customFormat="false" ht="35.05" hidden="false" customHeight="false" outlineLevel="0" collapsed="false">
      <c r="A165" s="4" t="s">
        <v>94</v>
      </c>
      <c r="B165" s="4" t="s">
        <v>51</v>
      </c>
      <c r="C165" s="4" t="s">
        <v>567</v>
      </c>
      <c r="D165" s="4" t="s">
        <v>71</v>
      </c>
      <c r="E165" s="4" t="s">
        <v>34</v>
      </c>
      <c r="F165" s="4" t="s">
        <v>978</v>
      </c>
      <c r="G165" s="4" t="s">
        <v>979</v>
      </c>
      <c r="H165" s="4" t="s">
        <v>980</v>
      </c>
      <c r="I165" s="4" t="s">
        <v>82</v>
      </c>
      <c r="J165" s="4" t="s">
        <v>541</v>
      </c>
      <c r="K165" s="4" t="s">
        <v>25</v>
      </c>
      <c r="L165" s="4" t="s">
        <v>981</v>
      </c>
      <c r="M165" s="4" t="s">
        <v>278</v>
      </c>
      <c r="N165" s="4" t="s">
        <v>982</v>
      </c>
      <c r="O165" s="4" t="s">
        <v>29</v>
      </c>
      <c r="P165" s="4" t="s">
        <v>983</v>
      </c>
    </row>
    <row r="166" customFormat="false" ht="35.05" hidden="false" customHeight="false" outlineLevel="0" collapsed="false">
      <c r="A166" s="4" t="s">
        <v>94</v>
      </c>
      <c r="B166" s="4" t="s">
        <v>51</v>
      </c>
      <c r="C166" s="4" t="s">
        <v>984</v>
      </c>
      <c r="D166" s="4" t="s">
        <v>71</v>
      </c>
      <c r="E166" s="4" t="s">
        <v>34</v>
      </c>
      <c r="F166" s="4" t="s">
        <v>985</v>
      </c>
      <c r="G166" s="4" t="s">
        <v>986</v>
      </c>
      <c r="H166" s="4" t="s">
        <v>987</v>
      </c>
      <c r="I166" s="4" t="s">
        <v>82</v>
      </c>
      <c r="J166" s="4" t="s">
        <v>541</v>
      </c>
      <c r="K166" s="4" t="s">
        <v>25</v>
      </c>
      <c r="L166" s="4" t="s">
        <v>988</v>
      </c>
      <c r="M166" s="4" t="s">
        <v>278</v>
      </c>
      <c r="N166" s="4" t="s">
        <v>989</v>
      </c>
      <c r="O166" s="4" t="s">
        <v>29</v>
      </c>
      <c r="P166" s="4" t="s">
        <v>990</v>
      </c>
    </row>
    <row r="167" customFormat="false" ht="35.05" hidden="false" customHeight="false" outlineLevel="0" collapsed="false">
      <c r="A167" s="4" t="s">
        <v>94</v>
      </c>
      <c r="B167" s="4" t="s">
        <v>51</v>
      </c>
      <c r="C167" s="4" t="s">
        <v>991</v>
      </c>
      <c r="D167" s="4" t="s">
        <v>53</v>
      </c>
      <c r="E167" s="4" t="s">
        <v>34</v>
      </c>
      <c r="F167" s="4" t="s">
        <v>992</v>
      </c>
      <c r="G167" s="4" t="s">
        <v>993</v>
      </c>
      <c r="H167" s="4" t="s">
        <v>980</v>
      </c>
      <c r="I167" s="4" t="s">
        <v>82</v>
      </c>
      <c r="J167" s="4" t="s">
        <v>541</v>
      </c>
      <c r="K167" s="4" t="s">
        <v>25</v>
      </c>
      <c r="L167" s="4" t="s">
        <v>981</v>
      </c>
      <c r="M167" s="4" t="s">
        <v>278</v>
      </c>
      <c r="N167" s="4" t="s">
        <v>982</v>
      </c>
      <c r="O167" s="4" t="s">
        <v>29</v>
      </c>
      <c r="P167" s="4" t="s">
        <v>994</v>
      </c>
    </row>
    <row r="168" customFormat="false" ht="35.05" hidden="false" customHeight="false" outlineLevel="0" collapsed="false">
      <c r="A168" s="2" t="s">
        <v>379</v>
      </c>
      <c r="B168" s="2" t="s">
        <v>31</v>
      </c>
      <c r="C168" s="2" t="s">
        <v>995</v>
      </c>
      <c r="D168" s="2" t="s">
        <v>33</v>
      </c>
      <c r="E168" s="2" t="s">
        <v>78</v>
      </c>
      <c r="F168" s="2" t="s">
        <v>996</v>
      </c>
      <c r="G168" s="2" t="s">
        <v>997</v>
      </c>
      <c r="H168" s="2" t="s">
        <v>641</v>
      </c>
      <c r="I168" s="2" t="s">
        <v>719</v>
      </c>
      <c r="J168" s="2" t="s">
        <v>24</v>
      </c>
      <c r="K168" s="2" t="s">
        <v>123</v>
      </c>
      <c r="L168" s="2" t="s">
        <v>523</v>
      </c>
      <c r="M168" s="2" t="s">
        <v>41</v>
      </c>
      <c r="N168" s="2" t="s">
        <v>998</v>
      </c>
      <c r="O168" s="2" t="s">
        <v>29</v>
      </c>
      <c r="P168" s="2" t="s">
        <v>999</v>
      </c>
    </row>
    <row r="169" customFormat="false" ht="35.05" hidden="false" customHeight="false" outlineLevel="0" collapsed="false">
      <c r="A169" s="2" t="s">
        <v>379</v>
      </c>
      <c r="B169" s="2" t="s">
        <v>31</v>
      </c>
      <c r="C169" s="2" t="s">
        <v>1000</v>
      </c>
      <c r="D169" s="2" t="s">
        <v>33</v>
      </c>
      <c r="E169" s="2" t="s">
        <v>78</v>
      </c>
      <c r="F169" s="2" t="s">
        <v>1001</v>
      </c>
      <c r="G169" s="2" t="s">
        <v>1002</v>
      </c>
      <c r="H169" s="2" t="s">
        <v>641</v>
      </c>
      <c r="I169" s="2" t="s">
        <v>1003</v>
      </c>
      <c r="J169" s="2" t="s">
        <v>24</v>
      </c>
      <c r="K169" s="2" t="s">
        <v>642</v>
      </c>
      <c r="L169" s="2" t="s">
        <v>287</v>
      </c>
      <c r="M169" s="2" t="s">
        <v>41</v>
      </c>
      <c r="N169" s="2" t="s">
        <v>1004</v>
      </c>
      <c r="O169" s="2" t="s">
        <v>29</v>
      </c>
      <c r="P169" s="2" t="s">
        <v>1005</v>
      </c>
    </row>
    <row r="170" customFormat="false" ht="23.85" hidden="false" customHeight="false" outlineLevel="0" collapsed="false">
      <c r="A170" s="4" t="s">
        <v>379</v>
      </c>
      <c r="B170" s="4" t="s">
        <v>31</v>
      </c>
      <c r="C170" s="4" t="s">
        <v>1006</v>
      </c>
      <c r="D170" s="4" t="s">
        <v>33</v>
      </c>
      <c r="E170" s="4" t="s">
        <v>78</v>
      </c>
      <c r="F170" s="4" t="s">
        <v>1007</v>
      </c>
      <c r="G170" s="4" t="s">
        <v>1008</v>
      </c>
      <c r="H170" s="4" t="s">
        <v>332</v>
      </c>
      <c r="I170" s="4" t="s">
        <v>69</v>
      </c>
      <c r="J170" s="4" t="s">
        <v>24</v>
      </c>
      <c r="K170" s="4" t="s">
        <v>25</v>
      </c>
      <c r="L170" s="4" t="s">
        <v>1009</v>
      </c>
      <c r="M170" s="4" t="s">
        <v>64</v>
      </c>
      <c r="N170" s="4" t="s">
        <v>1010</v>
      </c>
      <c r="O170" s="4" t="s">
        <v>280</v>
      </c>
      <c r="P170" s="4" t="s">
        <v>1011</v>
      </c>
    </row>
    <row r="171" customFormat="false" ht="35.05" hidden="false" customHeight="false" outlineLevel="0" collapsed="false">
      <c r="A171" s="2" t="s">
        <v>379</v>
      </c>
      <c r="B171" s="2" t="s">
        <v>43</v>
      </c>
      <c r="C171" s="2" t="s">
        <v>1012</v>
      </c>
      <c r="D171" s="2" t="s">
        <v>45</v>
      </c>
      <c r="E171" s="2" t="s">
        <v>78</v>
      </c>
      <c r="F171" s="2" t="s">
        <v>1013</v>
      </c>
      <c r="G171" s="2" t="s">
        <v>1014</v>
      </c>
      <c r="H171" s="2" t="s">
        <v>641</v>
      </c>
      <c r="I171" s="2" t="s">
        <v>667</v>
      </c>
      <c r="J171" s="2" t="s">
        <v>24</v>
      </c>
      <c r="K171" s="2" t="s">
        <v>1015</v>
      </c>
      <c r="L171" s="2" t="s">
        <v>1016</v>
      </c>
      <c r="M171" s="2" t="s">
        <v>41</v>
      </c>
      <c r="N171" s="2" t="s">
        <v>1017</v>
      </c>
      <c r="O171" s="2" t="s">
        <v>29</v>
      </c>
      <c r="P171" s="2" t="s">
        <v>1018</v>
      </c>
    </row>
    <row r="172" customFormat="false" ht="35.05" hidden="false" customHeight="false" outlineLevel="0" collapsed="false">
      <c r="A172" s="2" t="s">
        <v>379</v>
      </c>
      <c r="B172" s="2" t="s">
        <v>43</v>
      </c>
      <c r="C172" s="2" t="s">
        <v>1019</v>
      </c>
      <c r="D172" s="2" t="s">
        <v>45</v>
      </c>
      <c r="E172" s="2" t="s">
        <v>78</v>
      </c>
      <c r="F172" s="2" t="s">
        <v>1020</v>
      </c>
      <c r="G172" s="2" t="s">
        <v>1021</v>
      </c>
      <c r="H172" s="2" t="s">
        <v>641</v>
      </c>
      <c r="I172" s="2" t="s">
        <v>1022</v>
      </c>
      <c r="J172" s="2" t="s">
        <v>24</v>
      </c>
      <c r="K172" s="2" t="s">
        <v>123</v>
      </c>
      <c r="L172" s="2" t="s">
        <v>531</v>
      </c>
      <c r="M172" s="2" t="s">
        <v>41</v>
      </c>
      <c r="N172" s="2" t="s">
        <v>1023</v>
      </c>
      <c r="O172" s="2" t="s">
        <v>29</v>
      </c>
      <c r="P172" s="2" t="s">
        <v>1024</v>
      </c>
    </row>
    <row r="173" customFormat="false" ht="23.85" hidden="false" customHeight="false" outlineLevel="0" collapsed="false">
      <c r="A173" s="2" t="s">
        <v>379</v>
      </c>
      <c r="B173" s="2" t="s">
        <v>43</v>
      </c>
      <c r="C173" s="2" t="s">
        <v>1025</v>
      </c>
      <c r="D173" s="2" t="s">
        <v>45</v>
      </c>
      <c r="E173" s="2" t="s">
        <v>78</v>
      </c>
      <c r="F173" s="2" t="s">
        <v>1026</v>
      </c>
      <c r="G173" s="2" t="s">
        <v>1027</v>
      </c>
      <c r="H173" s="2" t="s">
        <v>641</v>
      </c>
      <c r="I173" s="2" t="s">
        <v>1028</v>
      </c>
      <c r="J173" s="2" t="s">
        <v>24</v>
      </c>
      <c r="K173" s="2" t="s">
        <v>1029</v>
      </c>
      <c r="L173" s="2" t="s">
        <v>287</v>
      </c>
      <c r="M173" s="2" t="s">
        <v>41</v>
      </c>
      <c r="N173" s="2" t="s">
        <v>1030</v>
      </c>
      <c r="O173" s="2" t="s">
        <v>29</v>
      </c>
      <c r="P173" s="2" t="s">
        <v>1031</v>
      </c>
    </row>
    <row r="174" customFormat="false" ht="35.05" hidden="false" customHeight="false" outlineLevel="0" collapsed="false">
      <c r="A174" s="2" t="s">
        <v>379</v>
      </c>
      <c r="B174" s="2" t="s">
        <v>43</v>
      </c>
      <c r="C174" s="2" t="s">
        <v>1032</v>
      </c>
      <c r="D174" s="2" t="s">
        <v>45</v>
      </c>
      <c r="E174" s="2" t="s">
        <v>78</v>
      </c>
      <c r="F174" s="2" t="s">
        <v>1033</v>
      </c>
      <c r="G174" s="2" t="s">
        <v>1034</v>
      </c>
      <c r="H174" s="2" t="s">
        <v>641</v>
      </c>
      <c r="I174" s="2" t="s">
        <v>1035</v>
      </c>
      <c r="J174" s="2" t="s">
        <v>24</v>
      </c>
      <c r="K174" s="2" t="s">
        <v>1036</v>
      </c>
      <c r="L174" s="2" t="s">
        <v>1037</v>
      </c>
      <c r="M174" s="2" t="s">
        <v>41</v>
      </c>
      <c r="N174" s="2" t="s">
        <v>1038</v>
      </c>
      <c r="O174" s="2" t="s">
        <v>29</v>
      </c>
      <c r="P174" s="2" t="s">
        <v>1039</v>
      </c>
    </row>
    <row r="175" customFormat="false" ht="46.25" hidden="false" customHeight="false" outlineLevel="0" collapsed="false">
      <c r="A175" s="2" t="s">
        <v>379</v>
      </c>
      <c r="B175" s="2" t="s">
        <v>51</v>
      </c>
      <c r="C175" s="2" t="s">
        <v>1040</v>
      </c>
      <c r="D175" s="2" t="s">
        <v>45</v>
      </c>
      <c r="E175" s="2" t="s">
        <v>34</v>
      </c>
      <c r="F175" s="2" t="s">
        <v>1041</v>
      </c>
      <c r="G175" s="2" t="s">
        <v>1042</v>
      </c>
      <c r="H175" s="2" t="s">
        <v>292</v>
      </c>
      <c r="I175" s="2" t="s">
        <v>69</v>
      </c>
      <c r="J175" s="2" t="s">
        <v>24</v>
      </c>
      <c r="K175" s="2" t="s">
        <v>25</v>
      </c>
      <c r="L175" s="2" t="s">
        <v>554</v>
      </c>
      <c r="M175" s="2" t="s">
        <v>41</v>
      </c>
      <c r="N175" s="2" t="s">
        <v>1043</v>
      </c>
      <c r="O175" s="2" t="s">
        <v>29</v>
      </c>
      <c r="P175" s="2" t="s">
        <v>1044</v>
      </c>
    </row>
    <row r="176" customFormat="false" ht="23.85" hidden="false" customHeight="false" outlineLevel="0" collapsed="false">
      <c r="A176" s="4" t="s">
        <v>379</v>
      </c>
      <c r="B176" s="4" t="s">
        <v>51</v>
      </c>
      <c r="C176" s="4" t="s">
        <v>1045</v>
      </c>
      <c r="D176" s="4" t="s">
        <v>45</v>
      </c>
      <c r="E176" s="4" t="s">
        <v>78</v>
      </c>
      <c r="F176" s="4" t="s">
        <v>1046</v>
      </c>
      <c r="G176" s="4" t="s">
        <v>1047</v>
      </c>
      <c r="H176" s="4" t="s">
        <v>641</v>
      </c>
      <c r="I176" s="4" t="s">
        <v>1048</v>
      </c>
      <c r="J176" s="4" t="s">
        <v>24</v>
      </c>
      <c r="K176" s="4" t="s">
        <v>1049</v>
      </c>
      <c r="L176" s="4" t="s">
        <v>287</v>
      </c>
      <c r="M176" s="4" t="s">
        <v>41</v>
      </c>
      <c r="N176" s="4" t="s">
        <v>1050</v>
      </c>
      <c r="O176" s="4" t="s">
        <v>280</v>
      </c>
      <c r="P176" s="4" t="s">
        <v>1051</v>
      </c>
    </row>
    <row r="177" customFormat="false" ht="35.05" hidden="false" customHeight="false" outlineLevel="0" collapsed="false">
      <c r="A177" s="2" t="s">
        <v>379</v>
      </c>
      <c r="B177" s="2" t="s">
        <v>198</v>
      </c>
      <c r="C177" s="2" t="s">
        <v>664</v>
      </c>
      <c r="D177" s="2" t="s">
        <v>200</v>
      </c>
      <c r="E177" s="2" t="s">
        <v>78</v>
      </c>
      <c r="F177" s="2" t="s">
        <v>1052</v>
      </c>
      <c r="G177" s="2" t="s">
        <v>1053</v>
      </c>
      <c r="H177" s="2" t="s">
        <v>292</v>
      </c>
      <c r="I177" s="2" t="s">
        <v>135</v>
      </c>
      <c r="J177" s="2" t="s">
        <v>24</v>
      </c>
      <c r="K177" s="2" t="s">
        <v>25</v>
      </c>
      <c r="L177" s="2" t="s">
        <v>1016</v>
      </c>
      <c r="M177" s="2" t="s">
        <v>41</v>
      </c>
      <c r="N177" s="2" t="s">
        <v>1054</v>
      </c>
      <c r="O177" s="2" t="s">
        <v>29</v>
      </c>
      <c r="P177" s="2" t="s">
        <v>1055</v>
      </c>
    </row>
    <row r="178" customFormat="false" ht="35.05" hidden="false" customHeight="false" outlineLevel="0" collapsed="false">
      <c r="A178" s="2" t="s">
        <v>379</v>
      </c>
      <c r="B178" s="2" t="s">
        <v>51</v>
      </c>
      <c r="C178" s="2" t="s">
        <v>1056</v>
      </c>
      <c r="D178" s="2" t="s">
        <v>53</v>
      </c>
      <c r="E178" s="2" t="s">
        <v>34</v>
      </c>
      <c r="F178" s="2" t="s">
        <v>1057</v>
      </c>
      <c r="G178" s="2" t="s">
        <v>1058</v>
      </c>
      <c r="H178" s="2" t="s">
        <v>942</v>
      </c>
      <c r="I178" s="2" t="s">
        <v>82</v>
      </c>
      <c r="J178" s="2" t="s">
        <v>24</v>
      </c>
      <c r="K178" s="2" t="s">
        <v>25</v>
      </c>
      <c r="L178" s="2" t="s">
        <v>1057</v>
      </c>
      <c r="M178" s="2" t="s">
        <v>27</v>
      </c>
      <c r="N178" s="2" t="s">
        <v>1059</v>
      </c>
      <c r="O178" s="2" t="s">
        <v>29</v>
      </c>
      <c r="P178" s="2" t="s">
        <v>1060</v>
      </c>
    </row>
    <row r="179" customFormat="false" ht="23.85" hidden="false" customHeight="false" outlineLevel="0" collapsed="false">
      <c r="A179" s="4" t="s">
        <v>379</v>
      </c>
      <c r="B179" s="4" t="s">
        <v>51</v>
      </c>
      <c r="C179" s="4" t="s">
        <v>1061</v>
      </c>
      <c r="D179" s="4" t="s">
        <v>53</v>
      </c>
      <c r="E179" s="4" t="s">
        <v>34</v>
      </c>
      <c r="F179" s="4" t="s">
        <v>1062</v>
      </c>
      <c r="G179" s="4" t="s">
        <v>1063</v>
      </c>
      <c r="H179" s="4" t="s">
        <v>942</v>
      </c>
      <c r="I179" s="4" t="s">
        <v>82</v>
      </c>
      <c r="J179" s="4" t="s">
        <v>24</v>
      </c>
      <c r="K179" s="4" t="s">
        <v>25</v>
      </c>
      <c r="L179" s="4" t="s">
        <v>1064</v>
      </c>
      <c r="M179" s="4" t="s">
        <v>278</v>
      </c>
      <c r="N179" s="4" t="s">
        <v>1065</v>
      </c>
      <c r="O179" s="4" t="s">
        <v>280</v>
      </c>
      <c r="P179" s="4" t="s">
        <v>1066</v>
      </c>
    </row>
    <row r="180" customFormat="false" ht="35.05" hidden="false" customHeight="false" outlineLevel="0" collapsed="false">
      <c r="A180" s="4" t="s">
        <v>379</v>
      </c>
      <c r="B180" s="4" t="s">
        <v>51</v>
      </c>
      <c r="C180" s="4" t="s">
        <v>1067</v>
      </c>
      <c r="D180" s="4" t="s">
        <v>71</v>
      </c>
      <c r="E180" s="4" t="s">
        <v>34</v>
      </c>
      <c r="F180" s="4" t="s">
        <v>1068</v>
      </c>
      <c r="G180" s="4" t="s">
        <v>1069</v>
      </c>
      <c r="H180" s="4" t="s">
        <v>942</v>
      </c>
      <c r="I180" s="4" t="s">
        <v>69</v>
      </c>
      <c r="J180" s="4" t="s">
        <v>24</v>
      </c>
      <c r="K180" s="4" t="s">
        <v>25</v>
      </c>
      <c r="L180" s="4" t="s">
        <v>1070</v>
      </c>
      <c r="M180" s="4" t="s">
        <v>278</v>
      </c>
      <c r="N180" s="4" t="s">
        <v>1071</v>
      </c>
      <c r="O180" s="4" t="s">
        <v>280</v>
      </c>
      <c r="P180" s="4" t="s">
        <v>1072</v>
      </c>
    </row>
    <row r="181" customFormat="false" ht="35.05" hidden="false" customHeight="false" outlineLevel="0" collapsed="false">
      <c r="A181" s="2" t="s">
        <v>379</v>
      </c>
      <c r="B181" s="2" t="s">
        <v>51</v>
      </c>
      <c r="C181" s="2" t="s">
        <v>1073</v>
      </c>
      <c r="D181" s="2" t="s">
        <v>45</v>
      </c>
      <c r="E181" s="2" t="s">
        <v>34</v>
      </c>
      <c r="F181" s="2" t="s">
        <v>1074</v>
      </c>
      <c r="G181" s="2" t="s">
        <v>1075</v>
      </c>
      <c r="H181" s="2" t="s">
        <v>1076</v>
      </c>
      <c r="I181" s="2" t="s">
        <v>163</v>
      </c>
      <c r="J181" s="2" t="s">
        <v>24</v>
      </c>
      <c r="K181" s="2" t="s">
        <v>25</v>
      </c>
      <c r="L181" s="2" t="s">
        <v>1077</v>
      </c>
      <c r="M181" s="2" t="s">
        <v>27</v>
      </c>
      <c r="N181" s="2" t="s">
        <v>1078</v>
      </c>
      <c r="O181" s="2" t="s">
        <v>29</v>
      </c>
      <c r="P181" s="2" t="s">
        <v>1079</v>
      </c>
    </row>
    <row r="182" customFormat="false" ht="35.05" hidden="false" customHeight="false" outlineLevel="0" collapsed="false">
      <c r="A182" s="4" t="s">
        <v>379</v>
      </c>
      <c r="B182" s="4" t="s">
        <v>51</v>
      </c>
      <c r="C182" s="4" t="s">
        <v>1080</v>
      </c>
      <c r="D182" s="4" t="s">
        <v>71</v>
      </c>
      <c r="E182" s="4" t="s">
        <v>34</v>
      </c>
      <c r="F182" s="4" t="s">
        <v>1081</v>
      </c>
      <c r="G182" s="4" t="s">
        <v>1082</v>
      </c>
      <c r="H182" s="4" t="s">
        <v>292</v>
      </c>
      <c r="I182" s="4" t="s">
        <v>305</v>
      </c>
      <c r="J182" s="4" t="s">
        <v>24</v>
      </c>
      <c r="K182" s="4" t="s">
        <v>25</v>
      </c>
      <c r="L182" s="4" t="s">
        <v>1083</v>
      </c>
      <c r="M182" s="4" t="s">
        <v>278</v>
      </c>
      <c r="N182" s="4" t="s">
        <v>1084</v>
      </c>
      <c r="O182" s="4" t="s">
        <v>280</v>
      </c>
      <c r="P182" s="4" t="s">
        <v>1085</v>
      </c>
    </row>
    <row r="183" customFormat="false" ht="35.05" hidden="false" customHeight="false" outlineLevel="0" collapsed="false">
      <c r="A183" s="4" t="s">
        <v>379</v>
      </c>
      <c r="B183" s="4" t="s">
        <v>51</v>
      </c>
      <c r="C183" s="4" t="s">
        <v>1086</v>
      </c>
      <c r="D183" s="4" t="s">
        <v>71</v>
      </c>
      <c r="E183" s="4" t="s">
        <v>34</v>
      </c>
      <c r="F183" s="4" t="s">
        <v>1087</v>
      </c>
      <c r="G183" s="4" t="s">
        <v>1088</v>
      </c>
      <c r="H183" s="4" t="s">
        <v>292</v>
      </c>
      <c r="I183" s="4" t="s">
        <v>1089</v>
      </c>
      <c r="J183" s="4" t="s">
        <v>24</v>
      </c>
      <c r="K183" s="4" t="s">
        <v>25</v>
      </c>
      <c r="L183" s="4" t="s">
        <v>1090</v>
      </c>
      <c r="M183" s="4" t="s">
        <v>278</v>
      </c>
      <c r="N183" s="4" t="s">
        <v>1091</v>
      </c>
      <c r="O183" s="4" t="s">
        <v>280</v>
      </c>
      <c r="P183" s="4" t="s">
        <v>1092</v>
      </c>
    </row>
    <row r="184" customFormat="false" ht="35.05" hidden="false" customHeight="false" outlineLevel="0" collapsed="false">
      <c r="A184" s="2" t="s">
        <v>379</v>
      </c>
      <c r="B184" s="2" t="s">
        <v>51</v>
      </c>
      <c r="C184" s="2" t="s">
        <v>1093</v>
      </c>
      <c r="D184" s="2" t="s">
        <v>71</v>
      </c>
      <c r="E184" s="2" t="s">
        <v>34</v>
      </c>
      <c r="F184" s="2" t="s">
        <v>1094</v>
      </c>
      <c r="G184" s="2" t="s">
        <v>1095</v>
      </c>
      <c r="H184" s="2" t="s">
        <v>292</v>
      </c>
      <c r="I184" s="2" t="s">
        <v>82</v>
      </c>
      <c r="J184" s="2" t="s">
        <v>24</v>
      </c>
      <c r="K184" s="2" t="s">
        <v>25</v>
      </c>
      <c r="L184" s="2" t="s">
        <v>1096</v>
      </c>
      <c r="M184" s="2" t="s">
        <v>27</v>
      </c>
      <c r="N184" s="2" t="s">
        <v>1097</v>
      </c>
      <c r="O184" s="2" t="s">
        <v>29</v>
      </c>
      <c r="P184" s="2" t="s">
        <v>1098</v>
      </c>
    </row>
    <row r="185" customFormat="false" ht="35.05" hidden="false" customHeight="false" outlineLevel="0" collapsed="false">
      <c r="A185" s="2" t="s">
        <v>379</v>
      </c>
      <c r="B185" s="2" t="s">
        <v>51</v>
      </c>
      <c r="C185" s="2" t="s">
        <v>1099</v>
      </c>
      <c r="D185" s="2" t="s">
        <v>71</v>
      </c>
      <c r="E185" s="2" t="s">
        <v>34</v>
      </c>
      <c r="F185" s="2" t="s">
        <v>1100</v>
      </c>
      <c r="G185" s="2" t="s">
        <v>1101</v>
      </c>
      <c r="H185" s="2" t="s">
        <v>292</v>
      </c>
      <c r="I185" s="2" t="s">
        <v>82</v>
      </c>
      <c r="J185" s="2" t="s">
        <v>24</v>
      </c>
      <c r="K185" s="2" t="s">
        <v>25</v>
      </c>
      <c r="L185" s="2" t="s">
        <v>1102</v>
      </c>
      <c r="M185" s="2" t="s">
        <v>27</v>
      </c>
      <c r="N185" s="2" t="s">
        <v>1103</v>
      </c>
      <c r="O185" s="2" t="s">
        <v>29</v>
      </c>
      <c r="P185" s="2" t="s">
        <v>1104</v>
      </c>
    </row>
    <row r="186" customFormat="false" ht="35.05" hidden="false" customHeight="false" outlineLevel="0" collapsed="false">
      <c r="A186" s="2" t="s">
        <v>379</v>
      </c>
      <c r="B186" s="2" t="s">
        <v>51</v>
      </c>
      <c r="C186" s="2" t="s">
        <v>1105</v>
      </c>
      <c r="D186" s="2" t="s">
        <v>33</v>
      </c>
      <c r="E186" s="2" t="s">
        <v>34</v>
      </c>
      <c r="F186" s="2" t="s">
        <v>1106</v>
      </c>
      <c r="G186" s="2" t="s">
        <v>1107</v>
      </c>
      <c r="H186" s="2" t="s">
        <v>292</v>
      </c>
      <c r="I186" s="2" t="s">
        <v>146</v>
      </c>
      <c r="J186" s="2" t="s">
        <v>24</v>
      </c>
      <c r="K186" s="2" t="s">
        <v>25</v>
      </c>
      <c r="L186" s="2" t="s">
        <v>315</v>
      </c>
      <c r="M186" s="2" t="s">
        <v>64</v>
      </c>
      <c r="N186" s="2" t="s">
        <v>1108</v>
      </c>
      <c r="O186" s="2" t="s">
        <v>29</v>
      </c>
      <c r="P186" s="2" t="s">
        <v>1109</v>
      </c>
    </row>
    <row r="187" customFormat="false" ht="23.85" hidden="false" customHeight="false" outlineLevel="0" collapsed="false">
      <c r="A187" s="2" t="s">
        <v>379</v>
      </c>
      <c r="B187" s="2" t="s">
        <v>51</v>
      </c>
      <c r="C187" s="2" t="s">
        <v>1110</v>
      </c>
      <c r="D187" s="2" t="s">
        <v>53</v>
      </c>
      <c r="E187" s="2" t="s">
        <v>34</v>
      </c>
      <c r="F187" s="2" t="s">
        <v>1111</v>
      </c>
      <c r="G187" s="2" t="s">
        <v>1112</v>
      </c>
      <c r="H187" s="2" t="s">
        <v>1113</v>
      </c>
      <c r="I187" s="2" t="s">
        <v>82</v>
      </c>
      <c r="J187" s="2" t="s">
        <v>24</v>
      </c>
      <c r="K187" s="2" t="s">
        <v>25</v>
      </c>
      <c r="L187" s="2" t="s">
        <v>1114</v>
      </c>
      <c r="M187" s="2" t="s">
        <v>27</v>
      </c>
      <c r="N187" s="2" t="s">
        <v>1115</v>
      </c>
      <c r="O187" s="2" t="s">
        <v>29</v>
      </c>
      <c r="P187" s="2" t="s">
        <v>1116</v>
      </c>
    </row>
    <row r="188" customFormat="false" ht="35.05" hidden="false" customHeight="false" outlineLevel="0" collapsed="false">
      <c r="A188" s="2" t="s">
        <v>379</v>
      </c>
      <c r="B188" s="2" t="s">
        <v>51</v>
      </c>
      <c r="C188" s="2" t="s">
        <v>1117</v>
      </c>
      <c r="D188" s="2" t="s">
        <v>53</v>
      </c>
      <c r="E188" s="2" t="s">
        <v>34</v>
      </c>
      <c r="F188" s="2" t="s">
        <v>1118</v>
      </c>
      <c r="G188" s="2" t="s">
        <v>1119</v>
      </c>
      <c r="H188" s="2" t="s">
        <v>292</v>
      </c>
      <c r="I188" s="2" t="s">
        <v>106</v>
      </c>
      <c r="J188" s="2" t="s">
        <v>24</v>
      </c>
      <c r="K188" s="2" t="s">
        <v>25</v>
      </c>
      <c r="L188" s="2" t="s">
        <v>1120</v>
      </c>
      <c r="M188" s="2" t="s">
        <v>64</v>
      </c>
      <c r="N188" s="2" t="s">
        <v>1121</v>
      </c>
      <c r="O188" s="2" t="s">
        <v>29</v>
      </c>
      <c r="P188" s="2" t="s">
        <v>1122</v>
      </c>
    </row>
    <row r="189" customFormat="false" ht="23.85" hidden="false" customHeight="false" outlineLevel="0" collapsed="false">
      <c r="A189" s="2" t="s">
        <v>379</v>
      </c>
      <c r="B189" s="2" t="s">
        <v>51</v>
      </c>
      <c r="C189" s="2" t="s">
        <v>1123</v>
      </c>
      <c r="D189" s="2" t="s">
        <v>71</v>
      </c>
      <c r="E189" s="2" t="s">
        <v>112</v>
      </c>
      <c r="F189" s="2" t="s">
        <v>1124</v>
      </c>
      <c r="G189" s="2" t="s">
        <v>1125</v>
      </c>
      <c r="H189" s="2" t="s">
        <v>292</v>
      </c>
      <c r="I189" s="2" t="s">
        <v>82</v>
      </c>
      <c r="J189" s="2" t="s">
        <v>24</v>
      </c>
      <c r="K189" s="2" t="s">
        <v>25</v>
      </c>
      <c r="L189" s="2" t="s">
        <v>1126</v>
      </c>
      <c r="M189" s="2" t="s">
        <v>27</v>
      </c>
      <c r="N189" s="2" t="s">
        <v>1127</v>
      </c>
      <c r="O189" s="2" t="s">
        <v>29</v>
      </c>
      <c r="P189" s="2" t="s">
        <v>1128</v>
      </c>
    </row>
    <row r="190" customFormat="false" ht="23.85" hidden="false" customHeight="false" outlineLevel="0" collapsed="false">
      <c r="A190" s="2" t="s">
        <v>379</v>
      </c>
      <c r="B190" s="2" t="s">
        <v>51</v>
      </c>
      <c r="C190" s="2" t="s">
        <v>1129</v>
      </c>
      <c r="D190" s="2" t="s">
        <v>71</v>
      </c>
      <c r="E190" s="2" t="s">
        <v>112</v>
      </c>
      <c r="F190" s="2" t="s">
        <v>1130</v>
      </c>
      <c r="G190" s="2" t="s">
        <v>1131</v>
      </c>
      <c r="H190" s="2" t="s">
        <v>292</v>
      </c>
      <c r="I190" s="2" t="s">
        <v>82</v>
      </c>
      <c r="J190" s="2" t="s">
        <v>24</v>
      </c>
      <c r="K190" s="2" t="s">
        <v>25</v>
      </c>
      <c r="L190" s="2" t="s">
        <v>1132</v>
      </c>
      <c r="M190" s="2" t="s">
        <v>278</v>
      </c>
      <c r="N190" s="2" t="s">
        <v>1133</v>
      </c>
      <c r="O190" s="2" t="s">
        <v>29</v>
      </c>
      <c r="P190" s="2" t="s">
        <v>1134</v>
      </c>
    </row>
    <row r="191" customFormat="false" ht="35.05" hidden="false" customHeight="false" outlineLevel="0" collapsed="false">
      <c r="A191" s="2" t="s">
        <v>379</v>
      </c>
      <c r="B191" s="2" t="s">
        <v>51</v>
      </c>
      <c r="C191" s="2" t="s">
        <v>1135</v>
      </c>
      <c r="D191" s="2" t="s">
        <v>33</v>
      </c>
      <c r="E191" s="2" t="s">
        <v>112</v>
      </c>
      <c r="F191" s="2" t="s">
        <v>1136</v>
      </c>
      <c r="G191" s="2" t="s">
        <v>1137</v>
      </c>
      <c r="H191" s="2" t="s">
        <v>292</v>
      </c>
      <c r="I191" s="2" t="s">
        <v>146</v>
      </c>
      <c r="J191" s="2" t="s">
        <v>24</v>
      </c>
      <c r="K191" s="2" t="s">
        <v>25</v>
      </c>
      <c r="L191" s="2" t="s">
        <v>1138</v>
      </c>
      <c r="M191" s="2" t="s">
        <v>100</v>
      </c>
      <c r="N191" s="2" t="s">
        <v>1139</v>
      </c>
      <c r="O191" s="2" t="s">
        <v>29</v>
      </c>
      <c r="P191" s="2" t="s">
        <v>1140</v>
      </c>
    </row>
    <row r="192" customFormat="false" ht="46.25" hidden="false" customHeight="false" outlineLevel="0" collapsed="false">
      <c r="A192" s="2" t="s">
        <v>379</v>
      </c>
      <c r="B192" s="2" t="s">
        <v>17</v>
      </c>
      <c r="C192" s="2" t="s">
        <v>1141</v>
      </c>
      <c r="D192" s="2" t="s">
        <v>19</v>
      </c>
      <c r="E192" s="2" t="s">
        <v>17</v>
      </c>
      <c r="F192" s="2" t="s">
        <v>1142</v>
      </c>
      <c r="G192" s="2" t="s">
        <v>1143</v>
      </c>
      <c r="H192" s="2" t="s">
        <v>699</v>
      </c>
      <c r="I192" s="2" t="s">
        <v>82</v>
      </c>
      <c r="J192" s="2" t="s">
        <v>24</v>
      </c>
      <c r="K192" s="2" t="s">
        <v>25</v>
      </c>
      <c r="L192" s="2" t="s">
        <v>1144</v>
      </c>
      <c r="M192" s="2" t="s">
        <v>100</v>
      </c>
      <c r="N192" s="2" t="s">
        <v>1145</v>
      </c>
      <c r="O192" s="2" t="s">
        <v>29</v>
      </c>
      <c r="P192" s="2" t="s">
        <v>1146</v>
      </c>
    </row>
    <row r="193" customFormat="false" ht="23.85" hidden="false" customHeight="false" outlineLevel="0" collapsed="false">
      <c r="A193" s="2" t="s">
        <v>379</v>
      </c>
      <c r="B193" s="2" t="s">
        <v>51</v>
      </c>
      <c r="C193" s="2" t="s">
        <v>1147</v>
      </c>
      <c r="D193" s="2" t="s">
        <v>71</v>
      </c>
      <c r="E193" s="2" t="s">
        <v>34</v>
      </c>
      <c r="F193" s="2" t="s">
        <v>1148</v>
      </c>
      <c r="G193" s="2" t="s">
        <v>1149</v>
      </c>
      <c r="H193" s="2" t="s">
        <v>292</v>
      </c>
      <c r="I193" s="2" t="s">
        <v>82</v>
      </c>
      <c r="J193" s="2" t="s">
        <v>24</v>
      </c>
      <c r="K193" s="2" t="s">
        <v>25</v>
      </c>
      <c r="L193" s="2" t="s">
        <v>1150</v>
      </c>
      <c r="M193" s="2" t="s">
        <v>27</v>
      </c>
      <c r="N193" s="2" t="s">
        <v>1151</v>
      </c>
      <c r="O193" s="2" t="s">
        <v>29</v>
      </c>
      <c r="P193" s="2" t="s">
        <v>1152</v>
      </c>
    </row>
    <row r="194" customFormat="false" ht="35.05" hidden="false" customHeight="false" outlineLevel="0" collapsed="false">
      <c r="A194" s="2" t="s">
        <v>449</v>
      </c>
      <c r="B194" s="2" t="s">
        <v>43</v>
      </c>
      <c r="C194" s="2" t="s">
        <v>1153</v>
      </c>
      <c r="D194" s="2" t="s">
        <v>45</v>
      </c>
      <c r="E194" s="2" t="s">
        <v>78</v>
      </c>
      <c r="F194" s="2" t="s">
        <v>1154</v>
      </c>
      <c r="G194" s="2" t="s">
        <v>1155</v>
      </c>
      <c r="H194" s="2" t="s">
        <v>641</v>
      </c>
      <c r="I194" s="2" t="s">
        <v>69</v>
      </c>
      <c r="J194" s="2" t="s">
        <v>455</v>
      </c>
      <c r="K194" s="2" t="s">
        <v>1156</v>
      </c>
      <c r="L194" s="2" t="s">
        <v>1157</v>
      </c>
      <c r="M194" s="2" t="s">
        <v>41</v>
      </c>
      <c r="N194" s="2" t="s">
        <v>1158</v>
      </c>
      <c r="O194" s="2" t="s">
        <v>29</v>
      </c>
      <c r="P194" s="2" t="s">
        <v>1159</v>
      </c>
    </row>
    <row r="195" customFormat="false" ht="35.05" hidden="false" customHeight="false" outlineLevel="0" collapsed="false">
      <c r="A195" s="2" t="s">
        <v>449</v>
      </c>
      <c r="B195" s="2" t="s">
        <v>31</v>
      </c>
      <c r="C195" s="2" t="s">
        <v>1160</v>
      </c>
      <c r="D195" s="2" t="s">
        <v>33</v>
      </c>
      <c r="E195" s="2" t="s">
        <v>78</v>
      </c>
      <c r="F195" s="2" t="s">
        <v>1161</v>
      </c>
      <c r="G195" s="2" t="s">
        <v>1162</v>
      </c>
      <c r="H195" s="2" t="s">
        <v>332</v>
      </c>
      <c r="I195" s="2" t="s">
        <v>146</v>
      </c>
      <c r="J195" s="2" t="s">
        <v>24</v>
      </c>
      <c r="K195" s="2" t="s">
        <v>123</v>
      </c>
      <c r="L195" s="2" t="s">
        <v>1163</v>
      </c>
      <c r="M195" s="2" t="s">
        <v>27</v>
      </c>
      <c r="N195" s="2" t="s">
        <v>1164</v>
      </c>
      <c r="O195" s="2" t="s">
        <v>29</v>
      </c>
      <c r="P195" s="2" t="s">
        <v>1165</v>
      </c>
    </row>
    <row r="196" customFormat="false" ht="35.05" hidden="false" customHeight="false" outlineLevel="0" collapsed="false">
      <c r="A196" s="2" t="s">
        <v>449</v>
      </c>
      <c r="B196" s="2" t="s">
        <v>31</v>
      </c>
      <c r="C196" s="2" t="s">
        <v>1166</v>
      </c>
      <c r="D196" s="2" t="s">
        <v>33</v>
      </c>
      <c r="E196" s="2" t="s">
        <v>78</v>
      </c>
      <c r="F196" s="2" t="s">
        <v>1167</v>
      </c>
      <c r="G196" s="2" t="s">
        <v>1168</v>
      </c>
      <c r="H196" s="2" t="s">
        <v>332</v>
      </c>
      <c r="I196" s="2" t="s">
        <v>237</v>
      </c>
      <c r="J196" s="2" t="s">
        <v>24</v>
      </c>
      <c r="K196" s="2" t="s">
        <v>25</v>
      </c>
      <c r="L196" s="2" t="s">
        <v>371</v>
      </c>
      <c r="M196" s="2" t="s">
        <v>64</v>
      </c>
      <c r="N196" s="2" t="s">
        <v>1169</v>
      </c>
      <c r="O196" s="2" t="s">
        <v>29</v>
      </c>
      <c r="P196" s="2" t="s">
        <v>1170</v>
      </c>
    </row>
    <row r="197" customFormat="false" ht="23.85" hidden="false" customHeight="false" outlineLevel="0" collapsed="false">
      <c r="A197" s="2" t="s">
        <v>449</v>
      </c>
      <c r="B197" s="2" t="s">
        <v>31</v>
      </c>
      <c r="C197" s="2" t="s">
        <v>1171</v>
      </c>
      <c r="D197" s="2" t="s">
        <v>33</v>
      </c>
      <c r="E197" s="2" t="s">
        <v>78</v>
      </c>
      <c r="F197" s="2" t="s">
        <v>1172</v>
      </c>
      <c r="G197" s="2" t="s">
        <v>1173</v>
      </c>
      <c r="H197" s="2" t="s">
        <v>641</v>
      </c>
      <c r="I197" s="2" t="s">
        <v>82</v>
      </c>
      <c r="J197" s="2" t="s">
        <v>24</v>
      </c>
      <c r="K197" s="2" t="s">
        <v>1174</v>
      </c>
      <c r="L197" s="2" t="s">
        <v>1175</v>
      </c>
      <c r="M197" s="2" t="s">
        <v>100</v>
      </c>
      <c r="N197" s="2" t="s">
        <v>1176</v>
      </c>
      <c r="O197" s="2" t="s">
        <v>29</v>
      </c>
      <c r="P197" s="2" t="s">
        <v>1177</v>
      </c>
    </row>
    <row r="198" customFormat="false" ht="35.05" hidden="false" customHeight="false" outlineLevel="0" collapsed="false">
      <c r="A198" s="2" t="s">
        <v>449</v>
      </c>
      <c r="B198" s="2" t="s">
        <v>51</v>
      </c>
      <c r="C198" s="2" t="s">
        <v>1178</v>
      </c>
      <c r="D198" s="2" t="s">
        <v>53</v>
      </c>
      <c r="E198" s="2" t="s">
        <v>34</v>
      </c>
      <c r="F198" s="2" t="s">
        <v>1179</v>
      </c>
      <c r="G198" s="2" t="s">
        <v>1180</v>
      </c>
      <c r="H198" s="2" t="s">
        <v>1181</v>
      </c>
      <c r="I198" s="2" t="s">
        <v>1182</v>
      </c>
      <c r="J198" s="2" t="s">
        <v>24</v>
      </c>
      <c r="K198" s="2" t="s">
        <v>25</v>
      </c>
      <c r="L198" s="2" t="s">
        <v>1183</v>
      </c>
      <c r="M198" s="2" t="s">
        <v>27</v>
      </c>
      <c r="N198" s="2" t="s">
        <v>1184</v>
      </c>
      <c r="O198" s="2" t="s">
        <v>29</v>
      </c>
      <c r="P198" s="2" t="s">
        <v>1185</v>
      </c>
    </row>
    <row r="199" customFormat="false" ht="35.05" hidden="false" customHeight="false" outlineLevel="0" collapsed="false">
      <c r="A199" s="2" t="s">
        <v>449</v>
      </c>
      <c r="B199" s="2" t="s">
        <v>118</v>
      </c>
      <c r="C199" s="2" t="s">
        <v>1178</v>
      </c>
      <c r="D199" s="2" t="s">
        <v>120</v>
      </c>
      <c r="E199" s="2" t="s">
        <v>34</v>
      </c>
      <c r="F199" s="2" t="s">
        <v>1186</v>
      </c>
      <c r="G199" s="2" t="s">
        <v>1187</v>
      </c>
      <c r="H199" s="2" t="s">
        <v>1181</v>
      </c>
      <c r="I199" s="2" t="s">
        <v>82</v>
      </c>
      <c r="J199" s="2" t="s">
        <v>24</v>
      </c>
      <c r="K199" s="2" t="s">
        <v>25</v>
      </c>
      <c r="L199" s="2" t="s">
        <v>1188</v>
      </c>
      <c r="M199" s="2" t="s">
        <v>27</v>
      </c>
      <c r="N199" s="2" t="s">
        <v>1189</v>
      </c>
      <c r="O199" s="2" t="s">
        <v>29</v>
      </c>
      <c r="P199" s="2" t="s">
        <v>1190</v>
      </c>
    </row>
    <row r="200" customFormat="false" ht="46.25" hidden="false" customHeight="false" outlineLevel="0" collapsed="false">
      <c r="A200" s="4" t="s">
        <v>449</v>
      </c>
      <c r="B200" s="4" t="s">
        <v>51</v>
      </c>
      <c r="C200" s="4" t="s">
        <v>1178</v>
      </c>
      <c r="D200" s="4" t="s">
        <v>53</v>
      </c>
      <c r="E200" s="4" t="s">
        <v>34</v>
      </c>
      <c r="F200" s="4" t="s">
        <v>1191</v>
      </c>
      <c r="G200" s="4" t="s">
        <v>1192</v>
      </c>
      <c r="H200" s="4" t="s">
        <v>1181</v>
      </c>
      <c r="I200" s="4" t="s">
        <v>82</v>
      </c>
      <c r="J200" s="4" t="s">
        <v>455</v>
      </c>
      <c r="K200" s="4" t="s">
        <v>25</v>
      </c>
      <c r="L200" s="4" t="s">
        <v>1193</v>
      </c>
      <c r="M200" s="4" t="s">
        <v>278</v>
      </c>
      <c r="N200" s="4" t="s">
        <v>1194</v>
      </c>
      <c r="O200" s="4" t="s">
        <v>29</v>
      </c>
      <c r="P200" s="4" t="s">
        <v>1195</v>
      </c>
    </row>
    <row r="201" customFormat="false" ht="57.45" hidden="false" customHeight="false" outlineLevel="0" collapsed="false">
      <c r="A201" s="4" t="s">
        <v>449</v>
      </c>
      <c r="B201" s="4" t="s">
        <v>51</v>
      </c>
      <c r="C201" s="4" t="s">
        <v>1178</v>
      </c>
      <c r="D201" s="4" t="s">
        <v>53</v>
      </c>
      <c r="E201" s="4" t="s">
        <v>34</v>
      </c>
      <c r="F201" s="4" t="s">
        <v>1196</v>
      </c>
      <c r="G201" s="4" t="s">
        <v>1197</v>
      </c>
      <c r="H201" s="4" t="s">
        <v>1181</v>
      </c>
      <c r="I201" s="4" t="s">
        <v>82</v>
      </c>
      <c r="J201" s="4" t="s">
        <v>455</v>
      </c>
      <c r="K201" s="4" t="s">
        <v>25</v>
      </c>
      <c r="L201" s="4" t="s">
        <v>1198</v>
      </c>
      <c r="M201" s="4" t="s">
        <v>278</v>
      </c>
      <c r="N201" s="4" t="s">
        <v>1199</v>
      </c>
      <c r="O201" s="4" t="s">
        <v>29</v>
      </c>
      <c r="P201" s="4" t="s">
        <v>1200</v>
      </c>
    </row>
    <row r="202" customFormat="false" ht="68.65" hidden="false" customHeight="false" outlineLevel="0" collapsed="false">
      <c r="A202" s="4" t="s">
        <v>449</v>
      </c>
      <c r="B202" s="4" t="s">
        <v>51</v>
      </c>
      <c r="C202" s="4" t="s">
        <v>1178</v>
      </c>
      <c r="D202" s="4" t="s">
        <v>53</v>
      </c>
      <c r="E202" s="4" t="s">
        <v>34</v>
      </c>
      <c r="F202" s="4" t="s">
        <v>1201</v>
      </c>
      <c r="G202" s="4" t="s">
        <v>1202</v>
      </c>
      <c r="H202" s="4" t="s">
        <v>1181</v>
      </c>
      <c r="I202" s="4" t="s">
        <v>1203</v>
      </c>
      <c r="J202" s="4" t="s">
        <v>455</v>
      </c>
      <c r="K202" s="4" t="s">
        <v>25</v>
      </c>
      <c r="L202" s="4" t="s">
        <v>1193</v>
      </c>
      <c r="M202" s="4" t="s">
        <v>278</v>
      </c>
      <c r="N202" s="4" t="s">
        <v>1204</v>
      </c>
      <c r="O202" s="4" t="s">
        <v>29</v>
      </c>
      <c r="P202" s="4" t="s">
        <v>1205</v>
      </c>
    </row>
    <row r="203" customFormat="false" ht="35.05" hidden="false" customHeight="false" outlineLevel="0" collapsed="false">
      <c r="A203" s="2" t="s">
        <v>449</v>
      </c>
      <c r="B203" s="2" t="s">
        <v>51</v>
      </c>
      <c r="C203" s="2" t="s">
        <v>1206</v>
      </c>
      <c r="D203" s="2" t="s">
        <v>71</v>
      </c>
      <c r="E203" s="2" t="s">
        <v>34</v>
      </c>
      <c r="F203" s="2" t="s">
        <v>1207</v>
      </c>
      <c r="G203" s="2" t="s">
        <v>1208</v>
      </c>
      <c r="H203" s="2" t="s">
        <v>1181</v>
      </c>
      <c r="I203" s="2" t="s">
        <v>1203</v>
      </c>
      <c r="J203" s="2" t="s">
        <v>24</v>
      </c>
      <c r="K203" s="2" t="s">
        <v>25</v>
      </c>
      <c r="L203" s="2" t="s">
        <v>1175</v>
      </c>
      <c r="M203" s="2" t="s">
        <v>100</v>
      </c>
      <c r="N203" s="2" t="s">
        <v>1209</v>
      </c>
      <c r="O203" s="2" t="s">
        <v>29</v>
      </c>
      <c r="P203" s="2" t="s">
        <v>1210</v>
      </c>
    </row>
    <row r="204" customFormat="false" ht="35.05" hidden="false" customHeight="false" outlineLevel="0" collapsed="false">
      <c r="A204" s="2" t="s">
        <v>449</v>
      </c>
      <c r="B204" s="2" t="s">
        <v>51</v>
      </c>
      <c r="C204" s="2" t="s">
        <v>1211</v>
      </c>
      <c r="D204" s="2" t="s">
        <v>71</v>
      </c>
      <c r="E204" s="2" t="s">
        <v>34</v>
      </c>
      <c r="F204" s="2" t="s">
        <v>1212</v>
      </c>
      <c r="G204" s="2" t="s">
        <v>1213</v>
      </c>
      <c r="H204" s="2" t="s">
        <v>1181</v>
      </c>
      <c r="I204" s="2" t="s">
        <v>1089</v>
      </c>
      <c r="J204" s="2" t="s">
        <v>24</v>
      </c>
      <c r="K204" s="2" t="s">
        <v>25</v>
      </c>
      <c r="L204" s="2" t="s">
        <v>1214</v>
      </c>
      <c r="M204" s="2" t="s">
        <v>27</v>
      </c>
      <c r="N204" s="2" t="s">
        <v>1215</v>
      </c>
      <c r="O204" s="2" t="s">
        <v>29</v>
      </c>
      <c r="P204" s="2" t="s">
        <v>1216</v>
      </c>
    </row>
    <row r="205" customFormat="false" ht="35.05" hidden="false" customHeight="false" outlineLevel="0" collapsed="false">
      <c r="A205" s="2" t="s">
        <v>449</v>
      </c>
      <c r="B205" s="2" t="s">
        <v>31</v>
      </c>
      <c r="C205" s="2" t="s">
        <v>1217</v>
      </c>
      <c r="D205" s="2" t="s">
        <v>33</v>
      </c>
      <c r="E205" s="2" t="s">
        <v>34</v>
      </c>
      <c r="F205" s="2" t="s">
        <v>1218</v>
      </c>
      <c r="G205" s="2" t="s">
        <v>1219</v>
      </c>
      <c r="H205" s="2" t="s">
        <v>1181</v>
      </c>
      <c r="I205" s="2" t="s">
        <v>237</v>
      </c>
      <c r="J205" s="2" t="s">
        <v>24</v>
      </c>
      <c r="K205" s="2" t="s">
        <v>25</v>
      </c>
      <c r="L205" s="2" t="s">
        <v>1220</v>
      </c>
      <c r="M205" s="2" t="s">
        <v>27</v>
      </c>
      <c r="N205" s="2" t="s">
        <v>1221</v>
      </c>
      <c r="O205" s="2" t="s">
        <v>29</v>
      </c>
      <c r="P205" s="2" t="s">
        <v>1222</v>
      </c>
    </row>
    <row r="206" customFormat="false" ht="35.05" hidden="false" customHeight="false" outlineLevel="0" collapsed="false">
      <c r="A206" s="2" t="s">
        <v>449</v>
      </c>
      <c r="B206" s="2" t="s">
        <v>51</v>
      </c>
      <c r="C206" s="2" t="s">
        <v>1223</v>
      </c>
      <c r="D206" s="2" t="s">
        <v>71</v>
      </c>
      <c r="E206" s="2" t="s">
        <v>34</v>
      </c>
      <c r="F206" s="2" t="s">
        <v>1224</v>
      </c>
      <c r="G206" s="2" t="s">
        <v>1225</v>
      </c>
      <c r="H206" s="2" t="s">
        <v>1181</v>
      </c>
      <c r="I206" s="2" t="s">
        <v>140</v>
      </c>
      <c r="J206" s="2" t="s">
        <v>24</v>
      </c>
      <c r="K206" s="2" t="s">
        <v>25</v>
      </c>
      <c r="L206" s="2" t="s">
        <v>1226</v>
      </c>
      <c r="M206" s="2" t="s">
        <v>27</v>
      </c>
      <c r="N206" s="2" t="s">
        <v>1227</v>
      </c>
      <c r="O206" s="2" t="s">
        <v>29</v>
      </c>
      <c r="P206" s="2" t="s">
        <v>1228</v>
      </c>
    </row>
    <row r="207" customFormat="false" ht="35.05" hidden="false" customHeight="false" outlineLevel="0" collapsed="false">
      <c r="A207" s="2" t="s">
        <v>449</v>
      </c>
      <c r="B207" s="2" t="s">
        <v>51</v>
      </c>
      <c r="C207" s="2" t="s">
        <v>785</v>
      </c>
      <c r="D207" s="2" t="s">
        <v>71</v>
      </c>
      <c r="E207" s="2" t="s">
        <v>34</v>
      </c>
      <c r="F207" s="2" t="s">
        <v>1229</v>
      </c>
      <c r="G207" s="2" t="s">
        <v>1230</v>
      </c>
      <c r="H207" s="2" t="s">
        <v>1181</v>
      </c>
      <c r="I207" s="2" t="s">
        <v>82</v>
      </c>
      <c r="J207" s="2" t="s">
        <v>24</v>
      </c>
      <c r="K207" s="2" t="s">
        <v>25</v>
      </c>
      <c r="L207" s="2" t="s">
        <v>1231</v>
      </c>
      <c r="M207" s="2" t="s">
        <v>27</v>
      </c>
      <c r="N207" s="2" t="s">
        <v>1232</v>
      </c>
      <c r="O207" s="2" t="s">
        <v>29</v>
      </c>
      <c r="P207" s="2" t="s">
        <v>1233</v>
      </c>
    </row>
    <row r="208" customFormat="false" ht="35.05" hidden="false" customHeight="false" outlineLevel="0" collapsed="false">
      <c r="A208" s="2" t="s">
        <v>449</v>
      </c>
      <c r="B208" s="2" t="s">
        <v>118</v>
      </c>
      <c r="C208" s="2" t="s">
        <v>1234</v>
      </c>
      <c r="D208" s="2" t="s">
        <v>120</v>
      </c>
      <c r="E208" s="2" t="s">
        <v>78</v>
      </c>
      <c r="F208" s="2" t="s">
        <v>1235</v>
      </c>
      <c r="G208" s="2" t="s">
        <v>1236</v>
      </c>
      <c r="H208" s="2" t="s">
        <v>332</v>
      </c>
      <c r="I208" s="2" t="s">
        <v>62</v>
      </c>
      <c r="J208" s="2" t="s">
        <v>24</v>
      </c>
      <c r="K208" s="2" t="s">
        <v>123</v>
      </c>
      <c r="L208" s="2" t="s">
        <v>1237</v>
      </c>
      <c r="M208" s="2" t="s">
        <v>41</v>
      </c>
      <c r="N208" s="2" t="s">
        <v>1238</v>
      </c>
      <c r="O208" s="2" t="s">
        <v>29</v>
      </c>
      <c r="P208" s="2" t="s">
        <v>1239</v>
      </c>
    </row>
    <row r="209" customFormat="false" ht="35.05" hidden="false" customHeight="false" outlineLevel="0" collapsed="false">
      <c r="A209" s="2" t="s">
        <v>449</v>
      </c>
      <c r="B209" s="2" t="s">
        <v>43</v>
      </c>
      <c r="C209" s="2" t="s">
        <v>1240</v>
      </c>
      <c r="D209" s="2" t="s">
        <v>45</v>
      </c>
      <c r="E209" s="2" t="s">
        <v>78</v>
      </c>
      <c r="F209" s="2" t="s">
        <v>1241</v>
      </c>
      <c r="G209" s="2" t="s">
        <v>1242</v>
      </c>
      <c r="H209" s="2" t="s">
        <v>332</v>
      </c>
      <c r="I209" s="2" t="s">
        <v>82</v>
      </c>
      <c r="J209" s="2" t="s">
        <v>24</v>
      </c>
      <c r="K209" s="2" t="s">
        <v>25</v>
      </c>
      <c r="L209" s="2" t="s">
        <v>1243</v>
      </c>
      <c r="M209" s="2" t="s">
        <v>27</v>
      </c>
      <c r="N209" s="2" t="s">
        <v>1244</v>
      </c>
      <c r="O209" s="2" t="s">
        <v>29</v>
      </c>
      <c r="P209" s="2" t="s">
        <v>1245</v>
      </c>
    </row>
    <row r="210" customFormat="false" ht="35.05" hidden="false" customHeight="false" outlineLevel="0" collapsed="false">
      <c r="A210" s="2" t="s">
        <v>449</v>
      </c>
      <c r="B210" s="2" t="s">
        <v>31</v>
      </c>
      <c r="C210" s="2" t="s">
        <v>1246</v>
      </c>
      <c r="D210" s="2" t="s">
        <v>33</v>
      </c>
      <c r="E210" s="2" t="s">
        <v>78</v>
      </c>
      <c r="F210" s="2" t="s">
        <v>1247</v>
      </c>
      <c r="G210" s="2" t="s">
        <v>1248</v>
      </c>
      <c r="H210" s="2" t="s">
        <v>332</v>
      </c>
      <c r="I210" s="2" t="s">
        <v>146</v>
      </c>
      <c r="J210" s="2" t="s">
        <v>24</v>
      </c>
      <c r="K210" s="2" t="s">
        <v>123</v>
      </c>
      <c r="L210" s="2" t="s">
        <v>649</v>
      </c>
      <c r="M210" s="2" t="s">
        <v>41</v>
      </c>
      <c r="N210" s="2" t="s">
        <v>1249</v>
      </c>
      <c r="O210" s="2" t="s">
        <v>29</v>
      </c>
      <c r="P210" s="2" t="s">
        <v>1250</v>
      </c>
    </row>
    <row r="211" customFormat="false" ht="35.05" hidden="false" customHeight="false" outlineLevel="0" collapsed="false">
      <c r="A211" s="2" t="s">
        <v>449</v>
      </c>
      <c r="B211" s="2" t="s">
        <v>118</v>
      </c>
      <c r="C211" s="2" t="s">
        <v>1251</v>
      </c>
      <c r="D211" s="2" t="s">
        <v>120</v>
      </c>
      <c r="E211" s="2" t="s">
        <v>78</v>
      </c>
      <c r="F211" s="2" t="s">
        <v>1252</v>
      </c>
      <c r="G211" s="2" t="s">
        <v>1253</v>
      </c>
      <c r="H211" s="2" t="s">
        <v>332</v>
      </c>
      <c r="I211" s="2" t="s">
        <v>237</v>
      </c>
      <c r="J211" s="2" t="s">
        <v>24</v>
      </c>
      <c r="K211" s="2" t="s">
        <v>123</v>
      </c>
      <c r="L211" s="2" t="s">
        <v>287</v>
      </c>
      <c r="M211" s="2" t="s">
        <v>41</v>
      </c>
      <c r="N211" s="2" t="s">
        <v>1254</v>
      </c>
      <c r="O211" s="2" t="s">
        <v>29</v>
      </c>
      <c r="P211" s="2" t="s">
        <v>1255</v>
      </c>
    </row>
    <row r="212" customFormat="false" ht="46.25" hidden="false" customHeight="false" outlineLevel="0" collapsed="false">
      <c r="A212" s="2" t="s">
        <v>449</v>
      </c>
      <c r="B212" s="2" t="s">
        <v>31</v>
      </c>
      <c r="C212" s="2" t="s">
        <v>1256</v>
      </c>
      <c r="D212" s="2" t="s">
        <v>33</v>
      </c>
      <c r="E212" s="2" t="s">
        <v>78</v>
      </c>
      <c r="F212" s="2" t="s">
        <v>1257</v>
      </c>
      <c r="G212" s="2" t="s">
        <v>1258</v>
      </c>
      <c r="H212" s="2" t="s">
        <v>332</v>
      </c>
      <c r="I212" s="2" t="s">
        <v>1259</v>
      </c>
      <c r="J212" s="2" t="s">
        <v>24</v>
      </c>
      <c r="K212" s="2" t="s">
        <v>25</v>
      </c>
      <c r="L212" s="2" t="s">
        <v>1260</v>
      </c>
      <c r="M212" s="2" t="s">
        <v>27</v>
      </c>
      <c r="N212" s="2" t="s">
        <v>1261</v>
      </c>
      <c r="O212" s="2" t="s">
        <v>29</v>
      </c>
      <c r="P212" s="2" t="s">
        <v>1262</v>
      </c>
    </row>
    <row r="213" customFormat="false" ht="35.05" hidden="false" customHeight="false" outlineLevel="0" collapsed="false">
      <c r="A213" s="2" t="s">
        <v>449</v>
      </c>
      <c r="B213" s="2" t="s">
        <v>43</v>
      </c>
      <c r="C213" s="2" t="s">
        <v>1263</v>
      </c>
      <c r="D213" s="2" t="s">
        <v>45</v>
      </c>
      <c r="E213" s="2" t="s">
        <v>34</v>
      </c>
      <c r="F213" s="2" t="s">
        <v>1264</v>
      </c>
      <c r="G213" s="2" t="s">
        <v>1265</v>
      </c>
      <c r="H213" s="2" t="s">
        <v>1181</v>
      </c>
      <c r="I213" s="2" t="s">
        <v>82</v>
      </c>
      <c r="J213" s="2" t="s">
        <v>24</v>
      </c>
      <c r="K213" s="2" t="s">
        <v>25</v>
      </c>
      <c r="L213" s="2" t="s">
        <v>1266</v>
      </c>
      <c r="M213" s="2" t="s">
        <v>27</v>
      </c>
      <c r="N213" s="2" t="s">
        <v>1267</v>
      </c>
      <c r="O213" s="2" t="s">
        <v>29</v>
      </c>
      <c r="P213" s="2" t="s">
        <v>1268</v>
      </c>
    </row>
    <row r="214" customFormat="false" ht="46.25" hidden="false" customHeight="false" outlineLevel="0" collapsed="false">
      <c r="A214" s="2" t="s">
        <v>449</v>
      </c>
      <c r="B214" s="2" t="s">
        <v>17</v>
      </c>
      <c r="C214" s="2" t="s">
        <v>1269</v>
      </c>
      <c r="D214" s="2" t="s">
        <v>19</v>
      </c>
      <c r="E214" s="2" t="s">
        <v>17</v>
      </c>
      <c r="F214" s="2" t="s">
        <v>1270</v>
      </c>
      <c r="G214" s="2" t="s">
        <v>1271</v>
      </c>
      <c r="H214" s="2" t="s">
        <v>1272</v>
      </c>
      <c r="I214" s="2" t="s">
        <v>1273</v>
      </c>
      <c r="J214" s="2" t="s">
        <v>24</v>
      </c>
      <c r="K214" s="2" t="s">
        <v>25</v>
      </c>
      <c r="L214" s="2" t="s">
        <v>1274</v>
      </c>
      <c r="M214" s="2" t="s">
        <v>41</v>
      </c>
      <c r="N214" s="2" t="s">
        <v>1275</v>
      </c>
      <c r="O214" s="2" t="s">
        <v>29</v>
      </c>
      <c r="P214" s="2" t="s">
        <v>1276</v>
      </c>
    </row>
    <row r="215" customFormat="false" ht="91" hidden="false" customHeight="false" outlineLevel="0" collapsed="false">
      <c r="A215" s="4" t="s">
        <v>449</v>
      </c>
      <c r="B215" s="4" t="s">
        <v>17</v>
      </c>
      <c r="C215" s="4" t="s">
        <v>1277</v>
      </c>
      <c r="D215" s="4" t="s">
        <v>19</v>
      </c>
      <c r="E215" s="4" t="s">
        <v>17</v>
      </c>
      <c r="F215" s="4" t="s">
        <v>1278</v>
      </c>
      <c r="G215" s="4" t="s">
        <v>1279</v>
      </c>
      <c r="H215" s="4" t="s">
        <v>1280</v>
      </c>
      <c r="I215" s="4" t="s">
        <v>163</v>
      </c>
      <c r="J215" s="4" t="s">
        <v>455</v>
      </c>
      <c r="K215" s="4" t="s">
        <v>25</v>
      </c>
      <c r="L215" s="4" t="s">
        <v>1281</v>
      </c>
      <c r="M215" s="4" t="s">
        <v>278</v>
      </c>
      <c r="N215" s="4" t="s">
        <v>1282</v>
      </c>
      <c r="O215" s="4" t="s">
        <v>280</v>
      </c>
      <c r="P215" s="4" t="s">
        <v>1283</v>
      </c>
    </row>
    <row r="216" customFormat="false" ht="46.25" hidden="false" customHeight="false" outlineLevel="0" collapsed="false">
      <c r="A216" s="2" t="s">
        <v>449</v>
      </c>
      <c r="B216" s="2" t="s">
        <v>118</v>
      </c>
      <c r="C216" s="2" t="s">
        <v>1284</v>
      </c>
      <c r="D216" s="2" t="s">
        <v>120</v>
      </c>
      <c r="E216" s="2" t="s">
        <v>17</v>
      </c>
      <c r="F216" s="2" t="s">
        <v>1285</v>
      </c>
      <c r="G216" s="2" t="s">
        <v>1286</v>
      </c>
      <c r="H216" s="2" t="s">
        <v>1272</v>
      </c>
      <c r="I216" s="2" t="s">
        <v>1287</v>
      </c>
      <c r="J216" s="2" t="s">
        <v>24</v>
      </c>
      <c r="K216" s="2" t="s">
        <v>25</v>
      </c>
      <c r="L216" s="2" t="s">
        <v>1288</v>
      </c>
      <c r="M216" s="2" t="s">
        <v>41</v>
      </c>
      <c r="N216" s="2" t="s">
        <v>1289</v>
      </c>
      <c r="O216" s="2" t="s">
        <v>29</v>
      </c>
      <c r="P216" s="2" t="s">
        <v>1290</v>
      </c>
    </row>
    <row r="217" customFormat="false" ht="46.25" hidden="false" customHeight="false" outlineLevel="0" collapsed="false">
      <c r="A217" s="2" t="s">
        <v>449</v>
      </c>
      <c r="B217" s="2" t="s">
        <v>17</v>
      </c>
      <c r="C217" s="2" t="s">
        <v>1284</v>
      </c>
      <c r="D217" s="2" t="s">
        <v>19</v>
      </c>
      <c r="E217" s="2" t="s">
        <v>17</v>
      </c>
      <c r="F217" s="2" t="s">
        <v>1291</v>
      </c>
      <c r="G217" s="2" t="s">
        <v>1292</v>
      </c>
      <c r="H217" s="2" t="s">
        <v>1272</v>
      </c>
      <c r="I217" s="2" t="s">
        <v>1293</v>
      </c>
      <c r="J217" s="2" t="s">
        <v>24</v>
      </c>
      <c r="K217" s="2" t="s">
        <v>25</v>
      </c>
      <c r="L217" s="2" t="s">
        <v>1294</v>
      </c>
      <c r="M217" s="2" t="s">
        <v>41</v>
      </c>
      <c r="N217" s="2" t="s">
        <v>1295</v>
      </c>
      <c r="O217" s="2" t="s">
        <v>29</v>
      </c>
      <c r="P217" s="2" t="s">
        <v>1296</v>
      </c>
    </row>
    <row r="218" customFormat="false" ht="35.05" hidden="false" customHeight="false" outlineLevel="0" collapsed="false">
      <c r="A218" s="2" t="s">
        <v>449</v>
      </c>
      <c r="B218" s="2" t="s">
        <v>51</v>
      </c>
      <c r="C218" s="2" t="s">
        <v>1297</v>
      </c>
      <c r="D218" s="2" t="s">
        <v>71</v>
      </c>
      <c r="E218" s="2" t="s">
        <v>34</v>
      </c>
      <c r="F218" s="2" t="s">
        <v>1298</v>
      </c>
      <c r="G218" s="2" t="s">
        <v>1299</v>
      </c>
      <c r="H218" s="2" t="s">
        <v>1181</v>
      </c>
      <c r="I218" s="2" t="s">
        <v>1300</v>
      </c>
      <c r="J218" s="2" t="s">
        <v>24</v>
      </c>
      <c r="K218" s="2" t="s">
        <v>25</v>
      </c>
      <c r="L218" s="2" t="s">
        <v>1301</v>
      </c>
      <c r="M218" s="2" t="s">
        <v>27</v>
      </c>
      <c r="N218" s="2" t="s">
        <v>1302</v>
      </c>
      <c r="O218" s="2" t="s">
        <v>29</v>
      </c>
      <c r="P218" s="2" t="s">
        <v>1303</v>
      </c>
    </row>
    <row r="219" customFormat="false" ht="57.45" hidden="false" customHeight="false" outlineLevel="0" collapsed="false">
      <c r="A219" s="4" t="s">
        <v>449</v>
      </c>
      <c r="B219" s="4" t="s">
        <v>51</v>
      </c>
      <c r="C219" s="4" t="s">
        <v>1304</v>
      </c>
      <c r="D219" s="4" t="s">
        <v>33</v>
      </c>
      <c r="E219" s="4" t="s">
        <v>112</v>
      </c>
      <c r="F219" s="4" t="s">
        <v>1305</v>
      </c>
      <c r="G219" s="4" t="s">
        <v>1306</v>
      </c>
      <c r="H219" s="4" t="s">
        <v>332</v>
      </c>
      <c r="I219" s="4" t="s">
        <v>1307</v>
      </c>
      <c r="J219" s="4" t="s">
        <v>455</v>
      </c>
      <c r="K219" s="4" t="s">
        <v>25</v>
      </c>
      <c r="L219" s="4" t="s">
        <v>1308</v>
      </c>
      <c r="M219" s="4" t="s">
        <v>27</v>
      </c>
      <c r="N219" s="4" t="s">
        <v>1309</v>
      </c>
      <c r="O219" s="4" t="s">
        <v>29</v>
      </c>
      <c r="P219" s="4" t="s">
        <v>1310</v>
      </c>
    </row>
    <row r="220" customFormat="false" ht="57.45" hidden="false" customHeight="false" outlineLevel="0" collapsed="false">
      <c r="A220" s="4" t="s">
        <v>449</v>
      </c>
      <c r="B220" s="4" t="s">
        <v>51</v>
      </c>
      <c r="C220" s="4" t="s">
        <v>1311</v>
      </c>
      <c r="D220" s="4" t="s">
        <v>33</v>
      </c>
      <c r="E220" s="4" t="s">
        <v>112</v>
      </c>
      <c r="F220" s="4" t="s">
        <v>1312</v>
      </c>
      <c r="G220" s="4" t="s">
        <v>1313</v>
      </c>
      <c r="H220" s="4" t="s">
        <v>332</v>
      </c>
      <c r="I220" s="4" t="s">
        <v>1314</v>
      </c>
      <c r="J220" s="4" t="s">
        <v>455</v>
      </c>
      <c r="K220" s="4" t="s">
        <v>25</v>
      </c>
      <c r="L220" s="4" t="s">
        <v>1315</v>
      </c>
      <c r="M220" s="4" t="s">
        <v>27</v>
      </c>
      <c r="N220" s="4" t="s">
        <v>1316</v>
      </c>
      <c r="O220" s="4" t="s">
        <v>29</v>
      </c>
      <c r="P220" s="4" t="s">
        <v>1317</v>
      </c>
    </row>
    <row r="221" customFormat="false" ht="46.25" hidden="false" customHeight="false" outlineLevel="0" collapsed="false">
      <c r="A221" s="2" t="s">
        <v>16</v>
      </c>
      <c r="B221" s="2" t="s">
        <v>51</v>
      </c>
      <c r="C221" s="2" t="s">
        <v>1318</v>
      </c>
      <c r="D221" s="2" t="s">
        <v>71</v>
      </c>
      <c r="E221" s="2" t="s">
        <v>34</v>
      </c>
      <c r="F221" s="2" t="s">
        <v>1319</v>
      </c>
      <c r="G221" s="2" t="s">
        <v>1320</v>
      </c>
      <c r="H221" s="2" t="s">
        <v>292</v>
      </c>
      <c r="I221" s="2" t="s">
        <v>1321</v>
      </c>
      <c r="J221" s="2" t="s">
        <v>24</v>
      </c>
      <c r="K221" s="2" t="s">
        <v>25</v>
      </c>
      <c r="L221" s="2" t="s">
        <v>1322</v>
      </c>
      <c r="M221" s="2" t="s">
        <v>27</v>
      </c>
      <c r="N221" s="2" t="s">
        <v>1323</v>
      </c>
      <c r="O221" s="2" t="s">
        <v>29</v>
      </c>
      <c r="P221" s="2" t="s">
        <v>1324</v>
      </c>
    </row>
    <row r="222" customFormat="false" ht="35.05" hidden="false" customHeight="false" outlineLevel="0" collapsed="false">
      <c r="A222" s="2" t="s">
        <v>16</v>
      </c>
      <c r="B222" s="2" t="s">
        <v>51</v>
      </c>
      <c r="C222" s="2" t="s">
        <v>1325</v>
      </c>
      <c r="D222" s="2" t="s">
        <v>53</v>
      </c>
      <c r="E222" s="2" t="s">
        <v>34</v>
      </c>
      <c r="F222" s="2" t="s">
        <v>1326</v>
      </c>
      <c r="G222" s="2" t="s">
        <v>1327</v>
      </c>
      <c r="H222" s="2" t="s">
        <v>1328</v>
      </c>
      <c r="I222" s="2" t="s">
        <v>1329</v>
      </c>
      <c r="J222" s="2" t="s">
        <v>24</v>
      </c>
      <c r="K222" s="2" t="s">
        <v>25</v>
      </c>
      <c r="L222" s="2" t="s">
        <v>1330</v>
      </c>
      <c r="M222" s="2" t="s">
        <v>100</v>
      </c>
      <c r="N222" s="2" t="s">
        <v>1331</v>
      </c>
      <c r="O222" s="2" t="s">
        <v>29</v>
      </c>
      <c r="P222" s="2" t="s">
        <v>1332</v>
      </c>
    </row>
    <row r="223" customFormat="false" ht="35.05" hidden="false" customHeight="false" outlineLevel="0" collapsed="false">
      <c r="A223" s="2" t="s">
        <v>16</v>
      </c>
      <c r="B223" s="2" t="s">
        <v>43</v>
      </c>
      <c r="C223" s="2" t="s">
        <v>1333</v>
      </c>
      <c r="D223" s="2" t="s">
        <v>45</v>
      </c>
      <c r="E223" s="2" t="s">
        <v>78</v>
      </c>
      <c r="F223" s="2" t="s">
        <v>1334</v>
      </c>
      <c r="G223" s="2" t="s">
        <v>1335</v>
      </c>
      <c r="H223" s="2" t="s">
        <v>37</v>
      </c>
      <c r="I223" s="2" t="s">
        <v>57</v>
      </c>
      <c r="J223" s="2" t="s">
        <v>24</v>
      </c>
      <c r="K223" s="2" t="s">
        <v>123</v>
      </c>
      <c r="L223" s="2" t="s">
        <v>554</v>
      </c>
      <c r="M223" s="2" t="s">
        <v>41</v>
      </c>
      <c r="N223" s="2" t="s">
        <v>765</v>
      </c>
      <c r="O223" s="2" t="s">
        <v>29</v>
      </c>
      <c r="P223" s="2" t="s">
        <v>1336</v>
      </c>
    </row>
    <row r="224" customFormat="false" ht="35.05" hidden="false" customHeight="false" outlineLevel="0" collapsed="false">
      <c r="A224" s="2" t="s">
        <v>16</v>
      </c>
      <c r="B224" s="2" t="s">
        <v>51</v>
      </c>
      <c r="C224" s="2" t="s">
        <v>1337</v>
      </c>
      <c r="D224" s="2" t="s">
        <v>33</v>
      </c>
      <c r="E224" s="2" t="s">
        <v>112</v>
      </c>
      <c r="F224" s="2" t="s">
        <v>1338</v>
      </c>
      <c r="G224" s="2" t="s">
        <v>1339</v>
      </c>
      <c r="H224" s="2" t="s">
        <v>37</v>
      </c>
      <c r="I224" s="2" t="s">
        <v>69</v>
      </c>
      <c r="J224" s="2" t="s">
        <v>24</v>
      </c>
      <c r="K224" s="2" t="s">
        <v>1340</v>
      </c>
      <c r="L224" s="2" t="s">
        <v>554</v>
      </c>
      <c r="M224" s="2" t="s">
        <v>41</v>
      </c>
      <c r="N224" s="2" t="s">
        <v>1341</v>
      </c>
      <c r="O224" s="2" t="s">
        <v>29</v>
      </c>
      <c r="P224" s="2" t="s">
        <v>1342</v>
      </c>
    </row>
    <row r="225" customFormat="false" ht="35.05" hidden="false" customHeight="false" outlineLevel="0" collapsed="false">
      <c r="A225" s="2" t="s">
        <v>16</v>
      </c>
      <c r="B225" s="2" t="s">
        <v>51</v>
      </c>
      <c r="C225" s="2" t="s">
        <v>1343</v>
      </c>
      <c r="D225" s="2" t="s">
        <v>33</v>
      </c>
      <c r="E225" s="2" t="s">
        <v>34</v>
      </c>
      <c r="F225" s="2" t="s">
        <v>1344</v>
      </c>
      <c r="G225" s="2" t="s">
        <v>1345</v>
      </c>
      <c r="H225" s="2" t="s">
        <v>292</v>
      </c>
      <c r="I225" s="2" t="s">
        <v>69</v>
      </c>
      <c r="J225" s="2" t="s">
        <v>24</v>
      </c>
      <c r="K225" s="2" t="s">
        <v>25</v>
      </c>
      <c r="L225" s="2" t="s">
        <v>1346</v>
      </c>
      <c r="M225" s="2" t="s">
        <v>27</v>
      </c>
      <c r="N225" s="2" t="s">
        <v>1347</v>
      </c>
      <c r="O225" s="2" t="s">
        <v>29</v>
      </c>
      <c r="P225" s="2" t="s">
        <v>1348</v>
      </c>
    </row>
    <row r="226" customFormat="false" ht="46.25" hidden="false" customHeight="false" outlineLevel="0" collapsed="false">
      <c r="A226" s="4" t="s">
        <v>16</v>
      </c>
      <c r="B226" s="4" t="s">
        <v>51</v>
      </c>
      <c r="C226" s="4" t="s">
        <v>111</v>
      </c>
      <c r="D226" s="4" t="s">
        <v>33</v>
      </c>
      <c r="E226" s="4" t="s">
        <v>112</v>
      </c>
      <c r="F226" s="4" t="s">
        <v>1349</v>
      </c>
      <c r="G226" s="4" t="s">
        <v>1350</v>
      </c>
      <c r="H226" s="4" t="s">
        <v>37</v>
      </c>
      <c r="I226" s="4" t="s">
        <v>69</v>
      </c>
      <c r="J226" s="4" t="s">
        <v>455</v>
      </c>
      <c r="K226" s="4" t="s">
        <v>123</v>
      </c>
      <c r="L226" s="4" t="s">
        <v>1351</v>
      </c>
      <c r="M226" s="4" t="s">
        <v>41</v>
      </c>
      <c r="N226" s="4" t="s">
        <v>1352</v>
      </c>
      <c r="O226" s="4" t="s">
        <v>29</v>
      </c>
      <c r="P226" s="4" t="s">
        <v>1353</v>
      </c>
    </row>
    <row r="227" customFormat="false" ht="35.05" hidden="false" customHeight="false" outlineLevel="0" collapsed="false">
      <c r="A227" s="2" t="s">
        <v>16</v>
      </c>
      <c r="B227" s="2" t="s">
        <v>43</v>
      </c>
      <c r="C227" s="2" t="s">
        <v>1354</v>
      </c>
      <c r="D227" s="2" t="s">
        <v>71</v>
      </c>
      <c r="E227" s="2" t="s">
        <v>34</v>
      </c>
      <c r="F227" s="2" t="s">
        <v>1355</v>
      </c>
      <c r="G227" s="2" t="s">
        <v>1356</v>
      </c>
      <c r="H227" s="2" t="s">
        <v>37</v>
      </c>
      <c r="I227" s="2" t="s">
        <v>163</v>
      </c>
      <c r="J227" s="2" t="s">
        <v>24</v>
      </c>
      <c r="K227" s="2" t="s">
        <v>25</v>
      </c>
      <c r="L227" s="2" t="s">
        <v>1357</v>
      </c>
      <c r="M227" s="2" t="s">
        <v>41</v>
      </c>
      <c r="N227" s="2" t="s">
        <v>1358</v>
      </c>
      <c r="O227" s="2" t="s">
        <v>29</v>
      </c>
      <c r="P227" s="2" t="s">
        <v>1359</v>
      </c>
    </row>
    <row r="228" customFormat="false" ht="35.05" hidden="false" customHeight="false" outlineLevel="0" collapsed="false">
      <c r="A228" s="2" t="s">
        <v>16</v>
      </c>
      <c r="B228" s="2" t="s">
        <v>51</v>
      </c>
      <c r="C228" s="2" t="s">
        <v>1360</v>
      </c>
      <c r="D228" s="2" t="s">
        <v>45</v>
      </c>
      <c r="E228" s="2" t="s">
        <v>17</v>
      </c>
      <c r="F228" s="2" t="s">
        <v>1361</v>
      </c>
      <c r="G228" s="2" t="s">
        <v>1362</v>
      </c>
      <c r="H228" s="2" t="s">
        <v>37</v>
      </c>
      <c r="I228" s="2" t="s">
        <v>1003</v>
      </c>
      <c r="J228" s="2" t="s">
        <v>24</v>
      </c>
      <c r="K228" s="2" t="s">
        <v>25</v>
      </c>
      <c r="L228" s="2" t="s">
        <v>1363</v>
      </c>
      <c r="M228" s="2" t="s">
        <v>41</v>
      </c>
      <c r="N228" s="2" t="s">
        <v>1364</v>
      </c>
      <c r="O228" s="2" t="s">
        <v>29</v>
      </c>
      <c r="P228" s="2" t="s">
        <v>1365</v>
      </c>
    </row>
    <row r="229" customFormat="false" ht="35.05" hidden="false" customHeight="false" outlineLevel="0" collapsed="false">
      <c r="A229" s="2" t="s">
        <v>16</v>
      </c>
      <c r="B229" s="2" t="s">
        <v>17</v>
      </c>
      <c r="C229" s="2" t="s">
        <v>1366</v>
      </c>
      <c r="D229" s="2" t="s">
        <v>19</v>
      </c>
      <c r="E229" s="2" t="s">
        <v>17</v>
      </c>
      <c r="F229" s="2" t="s">
        <v>1367</v>
      </c>
      <c r="G229" s="2" t="s">
        <v>1368</v>
      </c>
      <c r="H229" s="2" t="s">
        <v>292</v>
      </c>
      <c r="I229" s="2" t="s">
        <v>1369</v>
      </c>
      <c r="J229" s="2" t="s">
        <v>24</v>
      </c>
      <c r="K229" s="2" t="s">
        <v>25</v>
      </c>
      <c r="L229" s="2" t="s">
        <v>1370</v>
      </c>
      <c r="M229" s="2" t="s">
        <v>278</v>
      </c>
      <c r="N229" s="2" t="s">
        <v>1371</v>
      </c>
      <c r="O229" s="2" t="s">
        <v>29</v>
      </c>
      <c r="P229" s="2" t="s">
        <v>1372</v>
      </c>
    </row>
    <row r="230" customFormat="false" ht="35.05" hidden="false" customHeight="false" outlineLevel="0" collapsed="false">
      <c r="A230" s="2" t="s">
        <v>16</v>
      </c>
      <c r="B230" s="2" t="s">
        <v>51</v>
      </c>
      <c r="C230" s="2" t="s">
        <v>1373</v>
      </c>
      <c r="D230" s="2" t="s">
        <v>53</v>
      </c>
      <c r="E230" s="2" t="s">
        <v>34</v>
      </c>
      <c r="F230" s="2" t="s">
        <v>1374</v>
      </c>
      <c r="G230" s="2" t="s">
        <v>1375</v>
      </c>
      <c r="H230" s="2" t="s">
        <v>37</v>
      </c>
      <c r="I230" s="2" t="s">
        <v>163</v>
      </c>
      <c r="J230" s="2" t="s">
        <v>24</v>
      </c>
      <c r="K230" s="2" t="s">
        <v>25</v>
      </c>
      <c r="L230" s="2" t="s">
        <v>1376</v>
      </c>
      <c r="M230" s="2" t="s">
        <v>41</v>
      </c>
      <c r="N230" s="2" t="s">
        <v>1377</v>
      </c>
      <c r="O230" s="2" t="s">
        <v>29</v>
      </c>
      <c r="P230" s="2" t="s">
        <v>1378</v>
      </c>
    </row>
    <row r="231" customFormat="false" ht="35.05" hidden="false" customHeight="false" outlineLevel="0" collapsed="false">
      <c r="A231" s="2" t="s">
        <v>16</v>
      </c>
      <c r="B231" s="2" t="s">
        <v>51</v>
      </c>
      <c r="C231" s="2" t="s">
        <v>1379</v>
      </c>
      <c r="D231" s="2" t="s">
        <v>53</v>
      </c>
      <c r="E231" s="2" t="s">
        <v>34</v>
      </c>
      <c r="F231" s="2" t="s">
        <v>1380</v>
      </c>
      <c r="G231" s="2" t="s">
        <v>1381</v>
      </c>
      <c r="H231" s="2" t="s">
        <v>37</v>
      </c>
      <c r="I231" s="2" t="s">
        <v>69</v>
      </c>
      <c r="J231" s="2" t="s">
        <v>24</v>
      </c>
      <c r="K231" s="2" t="s">
        <v>25</v>
      </c>
      <c r="L231" s="2" t="s">
        <v>777</v>
      </c>
      <c r="M231" s="2" t="s">
        <v>41</v>
      </c>
      <c r="N231" s="2" t="s">
        <v>1382</v>
      </c>
      <c r="O231" s="2" t="s">
        <v>29</v>
      </c>
      <c r="P231" s="2" t="s">
        <v>1383</v>
      </c>
    </row>
    <row r="232" customFormat="false" ht="23.85" hidden="false" customHeight="false" outlineLevel="0" collapsed="false">
      <c r="A232" s="2" t="s">
        <v>16</v>
      </c>
      <c r="B232" s="2" t="s">
        <v>51</v>
      </c>
      <c r="C232" s="2" t="s">
        <v>1384</v>
      </c>
      <c r="D232" s="2" t="s">
        <v>53</v>
      </c>
      <c r="E232" s="2" t="s">
        <v>34</v>
      </c>
      <c r="F232" s="2" t="s">
        <v>1385</v>
      </c>
      <c r="G232" s="2" t="s">
        <v>1386</v>
      </c>
      <c r="H232" s="2" t="s">
        <v>292</v>
      </c>
      <c r="I232" s="2" t="s">
        <v>82</v>
      </c>
      <c r="J232" s="2" t="s">
        <v>24</v>
      </c>
      <c r="K232" s="2" t="s">
        <v>25</v>
      </c>
      <c r="L232" s="2" t="s">
        <v>1387</v>
      </c>
      <c r="M232" s="2" t="s">
        <v>27</v>
      </c>
      <c r="N232" s="2" t="s">
        <v>1388</v>
      </c>
      <c r="O232" s="2" t="s">
        <v>29</v>
      </c>
      <c r="P232" s="2" t="s">
        <v>1389</v>
      </c>
    </row>
    <row r="233" customFormat="false" ht="23.85" hidden="false" customHeight="false" outlineLevel="0" collapsed="false">
      <c r="A233" s="4" t="s">
        <v>16</v>
      </c>
      <c r="B233" s="4" t="s">
        <v>51</v>
      </c>
      <c r="C233" s="4" t="s">
        <v>1390</v>
      </c>
      <c r="D233" s="4" t="s">
        <v>71</v>
      </c>
      <c r="E233" s="4" t="s">
        <v>34</v>
      </c>
      <c r="F233" s="4" t="s">
        <v>1391</v>
      </c>
      <c r="G233" s="4" t="s">
        <v>1392</v>
      </c>
      <c r="H233" s="4" t="s">
        <v>37</v>
      </c>
      <c r="I233" s="4" t="s">
        <v>69</v>
      </c>
      <c r="J233" s="4" t="s">
        <v>24</v>
      </c>
      <c r="K233" s="4" t="s">
        <v>25</v>
      </c>
      <c r="L233" s="4" t="s">
        <v>1393</v>
      </c>
      <c r="M233" s="4" t="s">
        <v>27</v>
      </c>
      <c r="N233" s="4" t="s">
        <v>1394</v>
      </c>
      <c r="O233" s="4" t="s">
        <v>280</v>
      </c>
      <c r="P233" s="4" t="s">
        <v>1395</v>
      </c>
    </row>
    <row r="234" customFormat="false" ht="35.05" hidden="false" customHeight="false" outlineLevel="0" collapsed="false">
      <c r="A234" s="4" t="s">
        <v>16</v>
      </c>
      <c r="B234" s="4" t="s">
        <v>31</v>
      </c>
      <c r="C234" s="4" t="s">
        <v>1396</v>
      </c>
      <c r="D234" s="4" t="s">
        <v>33</v>
      </c>
      <c r="E234" s="4" t="s">
        <v>78</v>
      </c>
      <c r="F234" s="4" t="s">
        <v>1397</v>
      </c>
      <c r="G234" s="4" t="s">
        <v>1398</v>
      </c>
      <c r="H234" s="4" t="s">
        <v>1399</v>
      </c>
      <c r="I234" s="4" t="s">
        <v>82</v>
      </c>
      <c r="J234" s="4" t="s">
        <v>24</v>
      </c>
      <c r="K234" s="4" t="s">
        <v>1036</v>
      </c>
      <c r="L234" s="4" t="s">
        <v>1400</v>
      </c>
      <c r="M234" s="4" t="s">
        <v>278</v>
      </c>
      <c r="N234" s="4" t="s">
        <v>1401</v>
      </c>
      <c r="O234" s="4" t="s">
        <v>280</v>
      </c>
      <c r="P234" s="4" t="s">
        <v>1402</v>
      </c>
    </row>
    <row r="235" customFormat="false" ht="35.05" hidden="false" customHeight="false" outlineLevel="0" collapsed="false">
      <c r="A235" s="4" t="s">
        <v>16</v>
      </c>
      <c r="B235" s="4" t="s">
        <v>31</v>
      </c>
      <c r="C235" s="4" t="s">
        <v>1403</v>
      </c>
      <c r="D235" s="4" t="s">
        <v>33</v>
      </c>
      <c r="E235" s="4" t="s">
        <v>78</v>
      </c>
      <c r="F235" s="4" t="s">
        <v>1404</v>
      </c>
      <c r="G235" s="4" t="s">
        <v>1405</v>
      </c>
      <c r="H235" s="4" t="s">
        <v>37</v>
      </c>
      <c r="I235" s="4" t="s">
        <v>1273</v>
      </c>
      <c r="J235" s="4" t="s">
        <v>24</v>
      </c>
      <c r="K235" s="4" t="s">
        <v>1015</v>
      </c>
      <c r="L235" s="4" t="s">
        <v>1406</v>
      </c>
      <c r="M235" s="4" t="s">
        <v>41</v>
      </c>
      <c r="N235" s="4" t="s">
        <v>1407</v>
      </c>
      <c r="O235" s="4" t="s">
        <v>280</v>
      </c>
      <c r="P235" s="4" t="s">
        <v>1408</v>
      </c>
    </row>
    <row r="236" customFormat="false" ht="46.25" hidden="false" customHeight="false" outlineLevel="0" collapsed="false">
      <c r="A236" s="2" t="s">
        <v>94</v>
      </c>
      <c r="B236" s="2" t="s">
        <v>51</v>
      </c>
      <c r="C236" s="2" t="s">
        <v>1409</v>
      </c>
      <c r="D236" s="2" t="s">
        <v>53</v>
      </c>
      <c r="E236" s="2" t="s">
        <v>34</v>
      </c>
      <c r="F236" s="2" t="s">
        <v>1410</v>
      </c>
      <c r="G236" s="2" t="s">
        <v>1411</v>
      </c>
      <c r="H236" s="2" t="s">
        <v>1412</v>
      </c>
      <c r="I236" s="2" t="s">
        <v>146</v>
      </c>
      <c r="J236" s="2" t="s">
        <v>24</v>
      </c>
      <c r="K236" s="2" t="s">
        <v>25</v>
      </c>
      <c r="L236" s="2" t="s">
        <v>1413</v>
      </c>
      <c r="M236" s="2" t="s">
        <v>41</v>
      </c>
      <c r="N236" s="2" t="s">
        <v>1414</v>
      </c>
      <c r="O236" s="2" t="s">
        <v>29</v>
      </c>
      <c r="P236" s="2" t="s">
        <v>1415</v>
      </c>
    </row>
    <row r="237" customFormat="false" ht="46.25" hidden="false" customHeight="false" outlineLevel="0" collapsed="false">
      <c r="A237" s="2" t="s">
        <v>94</v>
      </c>
      <c r="B237" s="2" t="s">
        <v>51</v>
      </c>
      <c r="C237" s="2" t="s">
        <v>1409</v>
      </c>
      <c r="D237" s="2" t="s">
        <v>53</v>
      </c>
      <c r="E237" s="2" t="s">
        <v>34</v>
      </c>
      <c r="F237" s="2" t="s">
        <v>1416</v>
      </c>
      <c r="G237" s="2" t="s">
        <v>1417</v>
      </c>
      <c r="H237" s="2" t="s">
        <v>1412</v>
      </c>
      <c r="I237" s="2" t="s">
        <v>140</v>
      </c>
      <c r="J237" s="2" t="s">
        <v>24</v>
      </c>
      <c r="K237" s="2" t="s">
        <v>25</v>
      </c>
      <c r="L237" s="2" t="s">
        <v>1418</v>
      </c>
      <c r="M237" s="2" t="s">
        <v>27</v>
      </c>
      <c r="N237" s="2" t="s">
        <v>1419</v>
      </c>
      <c r="O237" s="2" t="s">
        <v>29</v>
      </c>
      <c r="P237" s="2" t="s">
        <v>1420</v>
      </c>
    </row>
    <row r="238" customFormat="false" ht="46.25" hidden="false" customHeight="false" outlineLevel="0" collapsed="false">
      <c r="A238" s="2" t="s">
        <v>94</v>
      </c>
      <c r="B238" s="2" t="s">
        <v>51</v>
      </c>
      <c r="C238" s="2" t="s">
        <v>1409</v>
      </c>
      <c r="D238" s="2" t="s">
        <v>53</v>
      </c>
      <c r="E238" s="2" t="s">
        <v>34</v>
      </c>
      <c r="F238" s="2" t="s">
        <v>1421</v>
      </c>
      <c r="G238" s="2" t="s">
        <v>1422</v>
      </c>
      <c r="H238" s="2" t="s">
        <v>1412</v>
      </c>
      <c r="I238" s="2" t="s">
        <v>82</v>
      </c>
      <c r="J238" s="2" t="s">
        <v>24</v>
      </c>
      <c r="K238" s="2" t="s">
        <v>25</v>
      </c>
      <c r="L238" s="2" t="s">
        <v>1423</v>
      </c>
      <c r="M238" s="2" t="s">
        <v>27</v>
      </c>
      <c r="N238" s="2" t="s">
        <v>1424</v>
      </c>
      <c r="O238" s="2" t="s">
        <v>29</v>
      </c>
      <c r="P238" s="2" t="s">
        <v>1425</v>
      </c>
    </row>
    <row r="239" customFormat="false" ht="35.05" hidden="false" customHeight="false" outlineLevel="0" collapsed="false">
      <c r="A239" s="2" t="s">
        <v>94</v>
      </c>
      <c r="B239" s="2" t="s">
        <v>51</v>
      </c>
      <c r="C239" s="2" t="s">
        <v>1409</v>
      </c>
      <c r="D239" s="2" t="s">
        <v>53</v>
      </c>
      <c r="E239" s="2" t="s">
        <v>34</v>
      </c>
      <c r="F239" s="2" t="s">
        <v>1426</v>
      </c>
      <c r="G239" s="2" t="s">
        <v>1427</v>
      </c>
      <c r="H239" s="2" t="s">
        <v>1412</v>
      </c>
      <c r="I239" s="2" t="s">
        <v>82</v>
      </c>
      <c r="J239" s="2" t="s">
        <v>24</v>
      </c>
      <c r="K239" s="2" t="s">
        <v>25</v>
      </c>
      <c r="L239" s="2" t="s">
        <v>1428</v>
      </c>
      <c r="M239" s="2" t="s">
        <v>27</v>
      </c>
      <c r="N239" s="2" t="s">
        <v>1429</v>
      </c>
      <c r="O239" s="2" t="s">
        <v>29</v>
      </c>
      <c r="P239" s="2" t="s">
        <v>1430</v>
      </c>
    </row>
    <row r="240" customFormat="false" ht="35.05" hidden="false" customHeight="false" outlineLevel="0" collapsed="false">
      <c r="A240" s="2" t="s">
        <v>94</v>
      </c>
      <c r="B240" s="2" t="s">
        <v>51</v>
      </c>
      <c r="C240" s="2" t="s">
        <v>1431</v>
      </c>
      <c r="D240" s="2" t="s">
        <v>53</v>
      </c>
      <c r="E240" s="2" t="s">
        <v>34</v>
      </c>
      <c r="F240" s="2" t="s">
        <v>1432</v>
      </c>
      <c r="G240" s="2" t="s">
        <v>1433</v>
      </c>
      <c r="H240" s="2" t="s">
        <v>1412</v>
      </c>
      <c r="I240" s="2" t="s">
        <v>82</v>
      </c>
      <c r="J240" s="2" t="s">
        <v>24</v>
      </c>
      <c r="K240" s="2" t="s">
        <v>25</v>
      </c>
      <c r="L240" s="2" t="s">
        <v>1434</v>
      </c>
      <c r="M240" s="2" t="s">
        <v>27</v>
      </c>
      <c r="N240" s="2" t="s">
        <v>1435</v>
      </c>
      <c r="O240" s="2" t="s">
        <v>29</v>
      </c>
      <c r="P240" s="2" t="s">
        <v>1436</v>
      </c>
    </row>
    <row r="241" customFormat="false" ht="46.25" hidden="false" customHeight="false" outlineLevel="0" collapsed="false">
      <c r="A241" s="2" t="s">
        <v>94</v>
      </c>
      <c r="B241" s="2" t="s">
        <v>51</v>
      </c>
      <c r="C241" s="2" t="s">
        <v>1409</v>
      </c>
      <c r="D241" s="2" t="s">
        <v>53</v>
      </c>
      <c r="E241" s="2" t="s">
        <v>34</v>
      </c>
      <c r="F241" s="2" t="s">
        <v>1437</v>
      </c>
      <c r="G241" s="2" t="s">
        <v>1438</v>
      </c>
      <c r="H241" s="2" t="s">
        <v>1412</v>
      </c>
      <c r="I241" s="2" t="s">
        <v>82</v>
      </c>
      <c r="J241" s="2" t="s">
        <v>24</v>
      </c>
      <c r="K241" s="2" t="s">
        <v>25</v>
      </c>
      <c r="L241" s="2" t="s">
        <v>1439</v>
      </c>
      <c r="M241" s="2" t="s">
        <v>27</v>
      </c>
      <c r="N241" s="2" t="s">
        <v>1440</v>
      </c>
      <c r="O241" s="2" t="s">
        <v>29</v>
      </c>
      <c r="P241" s="2" t="s">
        <v>1441</v>
      </c>
    </row>
    <row r="242" customFormat="false" ht="35.05" hidden="false" customHeight="false" outlineLevel="0" collapsed="false">
      <c r="A242" s="2" t="s">
        <v>94</v>
      </c>
      <c r="B242" s="2" t="s">
        <v>51</v>
      </c>
      <c r="C242" s="2" t="s">
        <v>1409</v>
      </c>
      <c r="D242" s="2" t="s">
        <v>53</v>
      </c>
      <c r="E242" s="2" t="s">
        <v>34</v>
      </c>
      <c r="F242" s="2" t="s">
        <v>1442</v>
      </c>
      <c r="G242" s="2" t="s">
        <v>1443</v>
      </c>
      <c r="H242" s="2" t="s">
        <v>1412</v>
      </c>
      <c r="I242" s="2" t="s">
        <v>82</v>
      </c>
      <c r="J242" s="2" t="s">
        <v>24</v>
      </c>
      <c r="K242" s="2" t="s">
        <v>25</v>
      </c>
      <c r="L242" s="2" t="s">
        <v>1444</v>
      </c>
      <c r="M242" s="2" t="s">
        <v>27</v>
      </c>
      <c r="N242" s="2" t="s">
        <v>1445</v>
      </c>
      <c r="O242" s="2" t="s">
        <v>29</v>
      </c>
      <c r="P242" s="2" t="s">
        <v>1446</v>
      </c>
    </row>
    <row r="243" customFormat="false" ht="35.05" hidden="false" customHeight="false" outlineLevel="0" collapsed="false">
      <c r="A243" s="2" t="s">
        <v>94</v>
      </c>
      <c r="B243" s="2" t="s">
        <v>51</v>
      </c>
      <c r="C243" s="2" t="s">
        <v>1409</v>
      </c>
      <c r="D243" s="2" t="s">
        <v>53</v>
      </c>
      <c r="E243" s="2" t="s">
        <v>34</v>
      </c>
      <c r="F243" s="2" t="s">
        <v>1447</v>
      </c>
      <c r="G243" s="2" t="s">
        <v>1448</v>
      </c>
      <c r="H243" s="2" t="s">
        <v>1412</v>
      </c>
      <c r="I243" s="2" t="s">
        <v>82</v>
      </c>
      <c r="J243" s="2" t="s">
        <v>24</v>
      </c>
      <c r="K243" s="2" t="s">
        <v>25</v>
      </c>
      <c r="L243" s="2" t="s">
        <v>1449</v>
      </c>
      <c r="M243" s="2" t="s">
        <v>27</v>
      </c>
      <c r="N243" s="2" t="s">
        <v>1450</v>
      </c>
      <c r="O243" s="2" t="s">
        <v>29</v>
      </c>
      <c r="P243" s="2" t="s">
        <v>1451</v>
      </c>
    </row>
    <row r="244" customFormat="false" ht="35.05" hidden="false" customHeight="false" outlineLevel="0" collapsed="false">
      <c r="A244" s="2" t="s">
        <v>94</v>
      </c>
      <c r="B244" s="2" t="s">
        <v>51</v>
      </c>
      <c r="C244" s="2" t="s">
        <v>1409</v>
      </c>
      <c r="D244" s="2" t="s">
        <v>53</v>
      </c>
      <c r="E244" s="2" t="s">
        <v>34</v>
      </c>
      <c r="F244" s="2" t="s">
        <v>1452</v>
      </c>
      <c r="G244" s="2" t="s">
        <v>1453</v>
      </c>
      <c r="H244" s="2" t="s">
        <v>1454</v>
      </c>
      <c r="I244" s="2" t="s">
        <v>82</v>
      </c>
      <c r="J244" s="2" t="s">
        <v>24</v>
      </c>
      <c r="K244" s="2" t="s">
        <v>25</v>
      </c>
      <c r="L244" s="2" t="s">
        <v>1455</v>
      </c>
      <c r="M244" s="2" t="s">
        <v>27</v>
      </c>
      <c r="N244" s="2" t="s">
        <v>1456</v>
      </c>
      <c r="O244" s="2" t="s">
        <v>29</v>
      </c>
      <c r="P244" s="2" t="s">
        <v>1457</v>
      </c>
    </row>
    <row r="245" customFormat="false" ht="35.05" hidden="false" customHeight="false" outlineLevel="0" collapsed="false">
      <c r="A245" s="2" t="s">
        <v>94</v>
      </c>
      <c r="B245" s="2" t="s">
        <v>17</v>
      </c>
      <c r="C245" s="2" t="s">
        <v>1458</v>
      </c>
      <c r="D245" s="2" t="s">
        <v>53</v>
      </c>
      <c r="E245" s="2" t="s">
        <v>17</v>
      </c>
      <c r="F245" s="2" t="s">
        <v>1459</v>
      </c>
      <c r="G245" s="2" t="s">
        <v>1460</v>
      </c>
      <c r="H245" s="2" t="s">
        <v>699</v>
      </c>
      <c r="I245" s="2" t="s">
        <v>1461</v>
      </c>
      <c r="J245" s="2" t="s">
        <v>24</v>
      </c>
      <c r="K245" s="2" t="s">
        <v>25</v>
      </c>
      <c r="L245" s="2" t="s">
        <v>1462</v>
      </c>
      <c r="M245" s="2" t="s">
        <v>100</v>
      </c>
      <c r="N245" s="2" t="s">
        <v>1463</v>
      </c>
      <c r="O245" s="2" t="s">
        <v>29</v>
      </c>
      <c r="P245" s="2" t="s">
        <v>1464</v>
      </c>
    </row>
    <row r="246" customFormat="false" ht="35.05" hidden="false" customHeight="false" outlineLevel="0" collapsed="false">
      <c r="A246" s="2" t="s">
        <v>94</v>
      </c>
      <c r="B246" s="2" t="s">
        <v>17</v>
      </c>
      <c r="C246" s="2" t="s">
        <v>1465</v>
      </c>
      <c r="D246" s="2" t="s">
        <v>53</v>
      </c>
      <c r="E246" s="2" t="s">
        <v>17</v>
      </c>
      <c r="F246" s="2" t="s">
        <v>1466</v>
      </c>
      <c r="G246" s="2" t="s">
        <v>1467</v>
      </c>
      <c r="H246" s="2" t="s">
        <v>699</v>
      </c>
      <c r="I246" s="2" t="s">
        <v>1468</v>
      </c>
      <c r="J246" s="2" t="s">
        <v>24</v>
      </c>
      <c r="K246" s="2" t="s">
        <v>25</v>
      </c>
      <c r="L246" s="2" t="s">
        <v>1462</v>
      </c>
      <c r="M246" s="2" t="s">
        <v>100</v>
      </c>
      <c r="N246" s="2" t="s">
        <v>1469</v>
      </c>
      <c r="O246" s="2" t="s">
        <v>29</v>
      </c>
      <c r="P246" s="2" t="s">
        <v>1470</v>
      </c>
    </row>
    <row r="247" customFormat="false" ht="46.25" hidden="false" customHeight="false" outlineLevel="0" collapsed="false">
      <c r="A247" s="4" t="s">
        <v>94</v>
      </c>
      <c r="B247" s="4" t="s">
        <v>51</v>
      </c>
      <c r="C247" s="4" t="s">
        <v>1471</v>
      </c>
      <c r="D247" s="4" t="s">
        <v>71</v>
      </c>
      <c r="E247" s="4" t="s">
        <v>34</v>
      </c>
      <c r="F247" s="4" t="s">
        <v>1472</v>
      </c>
      <c r="G247" s="4" t="s">
        <v>1473</v>
      </c>
      <c r="H247" s="4" t="s">
        <v>1474</v>
      </c>
      <c r="I247" s="4" t="s">
        <v>82</v>
      </c>
      <c r="J247" s="4" t="s">
        <v>541</v>
      </c>
      <c r="K247" s="4" t="s">
        <v>25</v>
      </c>
      <c r="L247" s="4" t="s">
        <v>1475</v>
      </c>
      <c r="M247" s="4" t="s">
        <v>100</v>
      </c>
      <c r="N247" s="4" t="s">
        <v>1476</v>
      </c>
      <c r="O247" s="4" t="s">
        <v>29</v>
      </c>
      <c r="P247" s="4" t="s">
        <v>1477</v>
      </c>
    </row>
    <row r="248" customFormat="false" ht="35.05" hidden="false" customHeight="false" outlineLevel="0" collapsed="false">
      <c r="A248" s="2" t="s">
        <v>94</v>
      </c>
      <c r="B248" s="2" t="s">
        <v>17</v>
      </c>
      <c r="C248" s="2" t="s">
        <v>1478</v>
      </c>
      <c r="D248" s="2" t="s">
        <v>53</v>
      </c>
      <c r="E248" s="2" t="s">
        <v>17</v>
      </c>
      <c r="F248" s="2" t="s">
        <v>1479</v>
      </c>
      <c r="G248" s="2" t="s">
        <v>1480</v>
      </c>
      <c r="H248" s="2" t="s">
        <v>1481</v>
      </c>
      <c r="I248" s="2" t="s">
        <v>82</v>
      </c>
      <c r="J248" s="2" t="s">
        <v>24</v>
      </c>
      <c r="K248" s="2" t="s">
        <v>25</v>
      </c>
      <c r="L248" s="2" t="s">
        <v>1462</v>
      </c>
      <c r="M248" s="2" t="s">
        <v>100</v>
      </c>
      <c r="N248" s="2" t="s">
        <v>1482</v>
      </c>
      <c r="O248" s="2" t="s">
        <v>29</v>
      </c>
      <c r="P248" s="2" t="s">
        <v>1483</v>
      </c>
    </row>
    <row r="249" customFormat="false" ht="46.25" hidden="false" customHeight="false" outlineLevel="0" collapsed="false">
      <c r="A249" s="2" t="s">
        <v>94</v>
      </c>
      <c r="B249" s="2" t="s">
        <v>17</v>
      </c>
      <c r="C249" s="2" t="s">
        <v>1484</v>
      </c>
      <c r="D249" s="2" t="s">
        <v>19</v>
      </c>
      <c r="E249" s="2" t="s">
        <v>17</v>
      </c>
      <c r="F249" s="2" t="s">
        <v>1485</v>
      </c>
      <c r="G249" s="2" t="s">
        <v>1486</v>
      </c>
      <c r="H249" s="2" t="s">
        <v>1280</v>
      </c>
      <c r="I249" s="2" t="s">
        <v>89</v>
      </c>
      <c r="J249" s="2" t="s">
        <v>24</v>
      </c>
      <c r="K249" s="2" t="s">
        <v>25</v>
      </c>
      <c r="L249" s="2" t="s">
        <v>1487</v>
      </c>
      <c r="M249" s="2" t="s">
        <v>100</v>
      </c>
      <c r="N249" s="2" t="s">
        <v>1488</v>
      </c>
      <c r="O249" s="2" t="s">
        <v>29</v>
      </c>
      <c r="P249" s="2" t="s">
        <v>1489</v>
      </c>
    </row>
    <row r="250" customFormat="false" ht="46.25" hidden="false" customHeight="false" outlineLevel="0" collapsed="false">
      <c r="A250" s="2" t="s">
        <v>94</v>
      </c>
      <c r="B250" s="2" t="s">
        <v>17</v>
      </c>
      <c r="C250" s="2" t="s">
        <v>1490</v>
      </c>
      <c r="D250" s="2" t="s">
        <v>19</v>
      </c>
      <c r="E250" s="2" t="s">
        <v>17</v>
      </c>
      <c r="F250" s="2" t="s">
        <v>1491</v>
      </c>
      <c r="G250" s="2" t="s">
        <v>1492</v>
      </c>
      <c r="H250" s="2" t="s">
        <v>1493</v>
      </c>
      <c r="I250" s="2" t="s">
        <v>1494</v>
      </c>
      <c r="J250" s="2" t="s">
        <v>24</v>
      </c>
      <c r="K250" s="2" t="s">
        <v>25</v>
      </c>
      <c r="L250" s="2" t="s">
        <v>1495</v>
      </c>
      <c r="M250" s="2" t="s">
        <v>41</v>
      </c>
      <c r="N250" s="2" t="s">
        <v>1496</v>
      </c>
      <c r="O250" s="2" t="s">
        <v>29</v>
      </c>
      <c r="P250" s="2" t="s">
        <v>1497</v>
      </c>
    </row>
    <row r="251" customFormat="false" ht="35.05" hidden="false" customHeight="false" outlineLevel="0" collapsed="false">
      <c r="A251" s="4" t="s">
        <v>94</v>
      </c>
      <c r="B251" s="4" t="s">
        <v>17</v>
      </c>
      <c r="C251" s="4" t="s">
        <v>1498</v>
      </c>
      <c r="D251" s="4" t="s">
        <v>19</v>
      </c>
      <c r="E251" s="4" t="s">
        <v>17</v>
      </c>
      <c r="F251" s="4" t="s">
        <v>1499</v>
      </c>
      <c r="G251" s="4" t="s">
        <v>1500</v>
      </c>
      <c r="H251" s="4" t="s">
        <v>1501</v>
      </c>
      <c r="I251" s="4" t="s">
        <v>82</v>
      </c>
      <c r="J251" s="4" t="s">
        <v>24</v>
      </c>
      <c r="K251" s="4" t="s">
        <v>25</v>
      </c>
      <c r="L251" s="4" t="s">
        <v>1502</v>
      </c>
      <c r="M251" s="4" t="s">
        <v>278</v>
      </c>
      <c r="N251" s="4" t="s">
        <v>1503</v>
      </c>
      <c r="O251" s="4" t="s">
        <v>280</v>
      </c>
      <c r="P251" s="4" t="s">
        <v>1504</v>
      </c>
    </row>
    <row r="252" customFormat="false" ht="35.05" hidden="false" customHeight="false" outlineLevel="0" collapsed="false">
      <c r="A252" s="2" t="s">
        <v>94</v>
      </c>
      <c r="B252" s="2" t="s">
        <v>31</v>
      </c>
      <c r="C252" s="2" t="s">
        <v>1505</v>
      </c>
      <c r="D252" s="2" t="s">
        <v>33</v>
      </c>
      <c r="E252" s="2" t="s">
        <v>17</v>
      </c>
      <c r="F252" s="2" t="s">
        <v>1506</v>
      </c>
      <c r="G252" s="2" t="s">
        <v>1507</v>
      </c>
      <c r="H252" s="2" t="s">
        <v>1508</v>
      </c>
      <c r="I252" s="2" t="s">
        <v>1509</v>
      </c>
      <c r="J252" s="2" t="s">
        <v>24</v>
      </c>
      <c r="K252" s="2" t="s">
        <v>25</v>
      </c>
      <c r="L252" s="2" t="s">
        <v>1510</v>
      </c>
      <c r="M252" s="2" t="s">
        <v>100</v>
      </c>
      <c r="N252" s="2" t="s">
        <v>1511</v>
      </c>
      <c r="O252" s="2" t="s">
        <v>29</v>
      </c>
      <c r="P252" s="2" t="s">
        <v>1512</v>
      </c>
    </row>
    <row r="253" customFormat="false" ht="35.05" hidden="false" customHeight="false" outlineLevel="0" collapsed="false">
      <c r="A253" s="2" t="s">
        <v>94</v>
      </c>
      <c r="B253" s="2" t="s">
        <v>17</v>
      </c>
      <c r="C253" s="2" t="s">
        <v>1513</v>
      </c>
      <c r="D253" s="2" t="s">
        <v>53</v>
      </c>
      <c r="E253" s="2" t="s">
        <v>17</v>
      </c>
      <c r="F253" s="2" t="s">
        <v>1514</v>
      </c>
      <c r="G253" s="2" t="s">
        <v>1515</v>
      </c>
      <c r="H253" s="2" t="s">
        <v>1516</v>
      </c>
      <c r="I253" s="2" t="s">
        <v>1517</v>
      </c>
      <c r="J253" s="2" t="s">
        <v>24</v>
      </c>
      <c r="K253" s="2" t="s">
        <v>25</v>
      </c>
      <c r="L253" s="2" t="s">
        <v>1518</v>
      </c>
      <c r="M253" s="2" t="s">
        <v>27</v>
      </c>
      <c r="N253" s="2" t="s">
        <v>1519</v>
      </c>
      <c r="O253" s="2" t="s">
        <v>29</v>
      </c>
      <c r="P253" s="2" t="s">
        <v>1520</v>
      </c>
    </row>
    <row r="254" customFormat="false" ht="35.05" hidden="false" customHeight="false" outlineLevel="0" collapsed="false">
      <c r="A254" s="2" t="s">
        <v>94</v>
      </c>
      <c r="B254" s="2" t="s">
        <v>17</v>
      </c>
      <c r="C254" s="2" t="s">
        <v>1521</v>
      </c>
      <c r="D254" s="2" t="s">
        <v>53</v>
      </c>
      <c r="E254" s="2" t="s">
        <v>17</v>
      </c>
      <c r="F254" s="2" t="s">
        <v>1522</v>
      </c>
      <c r="G254" s="2" t="s">
        <v>1523</v>
      </c>
      <c r="H254" s="2" t="s">
        <v>1516</v>
      </c>
      <c r="I254" s="2" t="s">
        <v>1524</v>
      </c>
      <c r="J254" s="2" t="s">
        <v>24</v>
      </c>
      <c r="K254" s="2" t="s">
        <v>25</v>
      </c>
      <c r="L254" s="2" t="s">
        <v>1525</v>
      </c>
      <c r="M254" s="2" t="s">
        <v>27</v>
      </c>
      <c r="N254" s="2" t="s">
        <v>1526</v>
      </c>
      <c r="O254" s="2" t="s">
        <v>29</v>
      </c>
      <c r="P254" s="2" t="s">
        <v>1527</v>
      </c>
    </row>
    <row r="255" customFormat="false" ht="46.25" hidden="false" customHeight="false" outlineLevel="0" collapsed="false">
      <c r="A255" s="2" t="s">
        <v>94</v>
      </c>
      <c r="B255" s="2" t="s">
        <v>17</v>
      </c>
      <c r="C255" s="2" t="s">
        <v>1528</v>
      </c>
      <c r="D255" s="2" t="s">
        <v>19</v>
      </c>
      <c r="E255" s="2" t="s">
        <v>17</v>
      </c>
      <c r="F255" s="2" t="s">
        <v>1529</v>
      </c>
      <c r="G255" s="2" t="s">
        <v>1530</v>
      </c>
      <c r="H255" s="2" t="s">
        <v>1531</v>
      </c>
      <c r="I255" s="2" t="s">
        <v>82</v>
      </c>
      <c r="J255" s="2" t="s">
        <v>24</v>
      </c>
      <c r="K255" s="2" t="s">
        <v>25</v>
      </c>
      <c r="L255" s="2" t="s">
        <v>1532</v>
      </c>
      <c r="M255" s="2" t="s">
        <v>27</v>
      </c>
      <c r="N255" s="2" t="s">
        <v>1533</v>
      </c>
      <c r="O255" s="2" t="s">
        <v>29</v>
      </c>
      <c r="P255" s="2" t="s">
        <v>1534</v>
      </c>
    </row>
    <row r="256" customFormat="false" ht="46.25" hidden="false" customHeight="false" outlineLevel="0" collapsed="false">
      <c r="A256" s="2" t="s">
        <v>94</v>
      </c>
      <c r="B256" s="2" t="s">
        <v>17</v>
      </c>
      <c r="C256" s="2" t="s">
        <v>1535</v>
      </c>
      <c r="D256" s="2" t="s">
        <v>19</v>
      </c>
      <c r="E256" s="2" t="s">
        <v>17</v>
      </c>
      <c r="F256" s="2" t="s">
        <v>1536</v>
      </c>
      <c r="G256" s="2" t="s">
        <v>1537</v>
      </c>
      <c r="H256" s="2" t="s">
        <v>1538</v>
      </c>
      <c r="I256" s="2" t="s">
        <v>135</v>
      </c>
      <c r="J256" s="2" t="s">
        <v>24</v>
      </c>
      <c r="K256" s="2" t="s">
        <v>25</v>
      </c>
      <c r="L256" s="2" t="s">
        <v>1539</v>
      </c>
      <c r="M256" s="2" t="s">
        <v>27</v>
      </c>
      <c r="N256" s="2" t="s">
        <v>1540</v>
      </c>
      <c r="O256" s="2" t="s">
        <v>29</v>
      </c>
      <c r="P256" s="2" t="s">
        <v>1541</v>
      </c>
    </row>
    <row r="257" customFormat="false" ht="46.25" hidden="false" customHeight="false" outlineLevel="0" collapsed="false">
      <c r="A257" s="2" t="s">
        <v>94</v>
      </c>
      <c r="B257" s="2" t="s">
        <v>43</v>
      </c>
      <c r="C257" s="2" t="s">
        <v>1542</v>
      </c>
      <c r="D257" s="2" t="s">
        <v>45</v>
      </c>
      <c r="E257" s="2" t="s">
        <v>34</v>
      </c>
      <c r="F257" s="2" t="s">
        <v>1543</v>
      </c>
      <c r="G257" s="2" t="s">
        <v>1544</v>
      </c>
      <c r="H257" s="2" t="s">
        <v>1545</v>
      </c>
      <c r="I257" s="2" t="s">
        <v>514</v>
      </c>
      <c r="J257" s="2" t="s">
        <v>24</v>
      </c>
      <c r="K257" s="2" t="s">
        <v>25</v>
      </c>
      <c r="L257" s="2" t="s">
        <v>1546</v>
      </c>
      <c r="M257" s="2" t="s">
        <v>27</v>
      </c>
      <c r="N257" s="2" t="s">
        <v>1547</v>
      </c>
      <c r="O257" s="2" t="s">
        <v>29</v>
      </c>
      <c r="P257" s="2" t="s">
        <v>1548</v>
      </c>
    </row>
    <row r="258" customFormat="false" ht="46.25" hidden="false" customHeight="false" outlineLevel="0" collapsed="false">
      <c r="A258" s="2" t="s">
        <v>94</v>
      </c>
      <c r="B258" s="2" t="s">
        <v>43</v>
      </c>
      <c r="C258" s="2" t="s">
        <v>1549</v>
      </c>
      <c r="D258" s="2" t="s">
        <v>45</v>
      </c>
      <c r="E258" s="2" t="s">
        <v>34</v>
      </c>
      <c r="F258" s="2" t="s">
        <v>1550</v>
      </c>
      <c r="G258" s="2" t="s">
        <v>1551</v>
      </c>
      <c r="H258" s="2" t="s">
        <v>1552</v>
      </c>
      <c r="I258" s="2" t="s">
        <v>82</v>
      </c>
      <c r="J258" s="2" t="s">
        <v>24</v>
      </c>
      <c r="K258" s="2" t="s">
        <v>25</v>
      </c>
      <c r="L258" s="2" t="s">
        <v>1553</v>
      </c>
      <c r="M258" s="2" t="s">
        <v>278</v>
      </c>
      <c r="N258" s="2" t="s">
        <v>1554</v>
      </c>
      <c r="O258" s="2" t="s">
        <v>29</v>
      </c>
      <c r="P258" s="2" t="s">
        <v>1555</v>
      </c>
    </row>
    <row r="259" customFormat="false" ht="46.25" hidden="false" customHeight="false" outlineLevel="0" collapsed="false">
      <c r="A259" s="2" t="s">
        <v>94</v>
      </c>
      <c r="B259" s="2" t="s">
        <v>43</v>
      </c>
      <c r="C259" s="2" t="s">
        <v>1556</v>
      </c>
      <c r="D259" s="2" t="s">
        <v>45</v>
      </c>
      <c r="E259" s="2" t="s">
        <v>34</v>
      </c>
      <c r="F259" s="2" t="s">
        <v>1557</v>
      </c>
      <c r="G259" s="2" t="s">
        <v>1558</v>
      </c>
      <c r="H259" s="2" t="s">
        <v>1545</v>
      </c>
      <c r="I259" s="2" t="s">
        <v>1559</v>
      </c>
      <c r="J259" s="2" t="s">
        <v>24</v>
      </c>
      <c r="K259" s="2" t="s">
        <v>25</v>
      </c>
      <c r="L259" s="2" t="s">
        <v>229</v>
      </c>
      <c r="M259" s="2" t="s">
        <v>100</v>
      </c>
      <c r="N259" s="2" t="s">
        <v>1560</v>
      </c>
      <c r="O259" s="2" t="s">
        <v>29</v>
      </c>
      <c r="P259" s="2" t="s">
        <v>1561</v>
      </c>
    </row>
    <row r="260" customFormat="false" ht="46.25" hidden="false" customHeight="false" outlineLevel="0" collapsed="false">
      <c r="A260" s="2" t="s">
        <v>94</v>
      </c>
      <c r="B260" s="2" t="s">
        <v>43</v>
      </c>
      <c r="C260" s="2" t="s">
        <v>1562</v>
      </c>
      <c r="D260" s="2" t="s">
        <v>45</v>
      </c>
      <c r="E260" s="2" t="s">
        <v>34</v>
      </c>
      <c r="F260" s="2" t="s">
        <v>1563</v>
      </c>
      <c r="G260" s="2" t="s">
        <v>1564</v>
      </c>
      <c r="H260" s="2" t="s">
        <v>1565</v>
      </c>
      <c r="I260" s="2" t="s">
        <v>140</v>
      </c>
      <c r="J260" s="2" t="s">
        <v>24</v>
      </c>
      <c r="K260" s="2" t="s">
        <v>25</v>
      </c>
      <c r="L260" s="2" t="s">
        <v>1566</v>
      </c>
      <c r="M260" s="2" t="s">
        <v>64</v>
      </c>
      <c r="N260" s="2" t="s">
        <v>1567</v>
      </c>
      <c r="O260" s="2" t="s">
        <v>29</v>
      </c>
      <c r="P260" s="2" t="s">
        <v>1568</v>
      </c>
    </row>
    <row r="261" customFormat="false" ht="46.25" hidden="false" customHeight="false" outlineLevel="0" collapsed="false">
      <c r="A261" s="2" t="s">
        <v>94</v>
      </c>
      <c r="B261" s="2" t="s">
        <v>43</v>
      </c>
      <c r="C261" s="2" t="s">
        <v>1569</v>
      </c>
      <c r="D261" s="2" t="s">
        <v>45</v>
      </c>
      <c r="E261" s="2" t="s">
        <v>78</v>
      </c>
      <c r="F261" s="2" t="s">
        <v>1570</v>
      </c>
      <c r="G261" s="2" t="s">
        <v>1571</v>
      </c>
      <c r="H261" s="2" t="s">
        <v>1572</v>
      </c>
      <c r="I261" s="2" t="s">
        <v>1573</v>
      </c>
      <c r="J261" s="2" t="s">
        <v>24</v>
      </c>
      <c r="K261" s="2" t="s">
        <v>1574</v>
      </c>
      <c r="L261" s="2" t="s">
        <v>597</v>
      </c>
      <c r="M261" s="2" t="s">
        <v>41</v>
      </c>
      <c r="N261" s="2" t="s">
        <v>1575</v>
      </c>
      <c r="O261" s="2" t="s">
        <v>29</v>
      </c>
      <c r="P261" s="2" t="s">
        <v>1576</v>
      </c>
    </row>
    <row r="262" customFormat="false" ht="46.25" hidden="false" customHeight="false" outlineLevel="0" collapsed="false">
      <c r="A262" s="2" t="s">
        <v>94</v>
      </c>
      <c r="B262" s="2" t="s">
        <v>43</v>
      </c>
      <c r="C262" s="2" t="s">
        <v>1577</v>
      </c>
      <c r="D262" s="2" t="s">
        <v>45</v>
      </c>
      <c r="E262" s="2" t="s">
        <v>78</v>
      </c>
      <c r="F262" s="2" t="s">
        <v>1578</v>
      </c>
      <c r="G262" s="2" t="s">
        <v>1579</v>
      </c>
      <c r="H262" s="2" t="s">
        <v>1580</v>
      </c>
      <c r="I262" s="2" t="s">
        <v>1581</v>
      </c>
      <c r="J262" s="2" t="s">
        <v>24</v>
      </c>
      <c r="K262" s="2" t="s">
        <v>383</v>
      </c>
      <c r="L262" s="2" t="s">
        <v>531</v>
      </c>
      <c r="M262" s="2" t="s">
        <v>41</v>
      </c>
      <c r="N262" s="2" t="s">
        <v>1582</v>
      </c>
      <c r="O262" s="2" t="s">
        <v>29</v>
      </c>
      <c r="P262" s="2" t="s">
        <v>1583</v>
      </c>
    </row>
    <row r="263" customFormat="false" ht="46.25" hidden="false" customHeight="false" outlineLevel="0" collapsed="false">
      <c r="A263" s="2" t="s">
        <v>94</v>
      </c>
      <c r="B263" s="2" t="s">
        <v>43</v>
      </c>
      <c r="C263" s="2" t="s">
        <v>1584</v>
      </c>
      <c r="D263" s="2" t="s">
        <v>45</v>
      </c>
      <c r="E263" s="2" t="s">
        <v>78</v>
      </c>
      <c r="F263" s="2" t="s">
        <v>1585</v>
      </c>
      <c r="G263" s="2" t="s">
        <v>1586</v>
      </c>
      <c r="H263" s="2" t="s">
        <v>1587</v>
      </c>
      <c r="I263" s="2" t="s">
        <v>1588</v>
      </c>
      <c r="J263" s="2" t="s">
        <v>24</v>
      </c>
      <c r="K263" s="2" t="s">
        <v>1589</v>
      </c>
      <c r="L263" s="2" t="s">
        <v>1590</v>
      </c>
      <c r="M263" s="2" t="s">
        <v>27</v>
      </c>
      <c r="N263" s="2" t="s">
        <v>1591</v>
      </c>
      <c r="O263" s="2" t="s">
        <v>29</v>
      </c>
      <c r="P263" s="2" t="s">
        <v>1592</v>
      </c>
    </row>
    <row r="264" customFormat="false" ht="46.25" hidden="false" customHeight="false" outlineLevel="0" collapsed="false">
      <c r="A264" s="2" t="s">
        <v>94</v>
      </c>
      <c r="B264" s="2" t="s">
        <v>43</v>
      </c>
      <c r="C264" s="2" t="s">
        <v>1593</v>
      </c>
      <c r="D264" s="2" t="s">
        <v>45</v>
      </c>
      <c r="E264" s="2" t="s">
        <v>78</v>
      </c>
      <c r="F264" s="2" t="s">
        <v>1594</v>
      </c>
      <c r="G264" s="2" t="s">
        <v>1595</v>
      </c>
      <c r="H264" s="2" t="s">
        <v>332</v>
      </c>
      <c r="I264" s="2" t="s">
        <v>377</v>
      </c>
      <c r="J264" s="2" t="s">
        <v>24</v>
      </c>
      <c r="K264" s="2" t="s">
        <v>25</v>
      </c>
      <c r="L264" s="2" t="s">
        <v>1596</v>
      </c>
      <c r="M264" s="2" t="s">
        <v>27</v>
      </c>
      <c r="N264" s="2" t="s">
        <v>1597</v>
      </c>
      <c r="O264" s="2" t="s">
        <v>29</v>
      </c>
      <c r="P264" s="2" t="s">
        <v>1598</v>
      </c>
    </row>
    <row r="265" customFormat="false" ht="46.25" hidden="false" customHeight="false" outlineLevel="0" collapsed="false">
      <c r="A265" s="2" t="s">
        <v>94</v>
      </c>
      <c r="B265" s="2" t="s">
        <v>43</v>
      </c>
      <c r="C265" s="2" t="s">
        <v>1599</v>
      </c>
      <c r="D265" s="2" t="s">
        <v>45</v>
      </c>
      <c r="E265" s="2" t="s">
        <v>78</v>
      </c>
      <c r="F265" s="2" t="s">
        <v>1600</v>
      </c>
      <c r="G265" s="2" t="s">
        <v>1601</v>
      </c>
      <c r="H265" s="2" t="s">
        <v>332</v>
      </c>
      <c r="I265" s="2" t="s">
        <v>82</v>
      </c>
      <c r="J265" s="2" t="s">
        <v>24</v>
      </c>
      <c r="K265" s="2" t="s">
        <v>25</v>
      </c>
      <c r="L265" s="2" t="s">
        <v>1602</v>
      </c>
      <c r="M265" s="2" t="s">
        <v>27</v>
      </c>
      <c r="N265" s="2" t="s">
        <v>1603</v>
      </c>
      <c r="O265" s="2" t="s">
        <v>29</v>
      </c>
      <c r="P265" s="2" t="s">
        <v>1604</v>
      </c>
    </row>
    <row r="266" customFormat="false" ht="46.25" hidden="false" customHeight="false" outlineLevel="0" collapsed="false">
      <c r="A266" s="2" t="s">
        <v>94</v>
      </c>
      <c r="B266" s="2" t="s">
        <v>51</v>
      </c>
      <c r="C266" s="2" t="s">
        <v>1605</v>
      </c>
      <c r="D266" s="2" t="s">
        <v>45</v>
      </c>
      <c r="E266" s="2" t="s">
        <v>78</v>
      </c>
      <c r="F266" s="2" t="s">
        <v>1606</v>
      </c>
      <c r="G266" s="2" t="s">
        <v>1607</v>
      </c>
      <c r="H266" s="2" t="s">
        <v>1580</v>
      </c>
      <c r="I266" s="2" t="s">
        <v>1608</v>
      </c>
      <c r="J266" s="2" t="s">
        <v>24</v>
      </c>
      <c r="K266" s="2" t="s">
        <v>1609</v>
      </c>
      <c r="L266" s="2" t="s">
        <v>686</v>
      </c>
      <c r="M266" s="2" t="s">
        <v>41</v>
      </c>
      <c r="N266" s="2" t="s">
        <v>1610</v>
      </c>
      <c r="O266" s="2" t="s">
        <v>29</v>
      </c>
      <c r="P266" s="2" t="s">
        <v>1611</v>
      </c>
    </row>
    <row r="267" customFormat="false" ht="46.25" hidden="false" customHeight="false" outlineLevel="0" collapsed="false">
      <c r="A267" s="2" t="s">
        <v>94</v>
      </c>
      <c r="B267" s="2" t="s">
        <v>43</v>
      </c>
      <c r="C267" s="2" t="s">
        <v>1612</v>
      </c>
      <c r="D267" s="2" t="s">
        <v>45</v>
      </c>
      <c r="E267" s="2" t="s">
        <v>78</v>
      </c>
      <c r="F267" s="2" t="s">
        <v>1613</v>
      </c>
      <c r="G267" s="2" t="s">
        <v>1614</v>
      </c>
      <c r="H267" s="2" t="s">
        <v>1580</v>
      </c>
      <c r="I267" s="2" t="s">
        <v>1615</v>
      </c>
      <c r="J267" s="2" t="s">
        <v>24</v>
      </c>
      <c r="K267" s="2" t="s">
        <v>845</v>
      </c>
      <c r="L267" s="2" t="s">
        <v>1616</v>
      </c>
      <c r="M267" s="2" t="s">
        <v>41</v>
      </c>
      <c r="N267" s="2" t="s">
        <v>1617</v>
      </c>
      <c r="O267" s="2" t="s">
        <v>29</v>
      </c>
      <c r="P267" s="2" t="s">
        <v>1618</v>
      </c>
    </row>
    <row r="268" customFormat="false" ht="35.05" hidden="false" customHeight="false" outlineLevel="0" collapsed="false">
      <c r="A268" s="2" t="s">
        <v>94</v>
      </c>
      <c r="B268" s="2" t="s">
        <v>51</v>
      </c>
      <c r="C268" s="2" t="s">
        <v>1619</v>
      </c>
      <c r="D268" s="2" t="s">
        <v>200</v>
      </c>
      <c r="E268" s="2" t="s">
        <v>78</v>
      </c>
      <c r="F268" s="2" t="s">
        <v>1620</v>
      </c>
      <c r="G268" s="2" t="s">
        <v>1621</v>
      </c>
      <c r="H268" s="2" t="s">
        <v>1580</v>
      </c>
      <c r="I268" s="2" t="s">
        <v>57</v>
      </c>
      <c r="J268" s="2" t="s">
        <v>24</v>
      </c>
      <c r="K268" s="2" t="s">
        <v>1622</v>
      </c>
      <c r="L268" s="2" t="s">
        <v>1623</v>
      </c>
      <c r="M268" s="2" t="s">
        <v>41</v>
      </c>
      <c r="N268" s="2" t="s">
        <v>1624</v>
      </c>
      <c r="O268" s="2" t="s">
        <v>29</v>
      </c>
      <c r="P268" s="2" t="s">
        <v>1625</v>
      </c>
    </row>
    <row r="269" customFormat="false" ht="46.25" hidden="false" customHeight="false" outlineLevel="0" collapsed="false">
      <c r="A269" s="2" t="s">
        <v>94</v>
      </c>
      <c r="B269" s="2" t="s">
        <v>118</v>
      </c>
      <c r="C269" s="2" t="s">
        <v>1626</v>
      </c>
      <c r="D269" s="2" t="s">
        <v>120</v>
      </c>
      <c r="E269" s="2" t="s">
        <v>78</v>
      </c>
      <c r="F269" s="2" t="s">
        <v>1627</v>
      </c>
      <c r="G269" s="2" t="s">
        <v>1628</v>
      </c>
      <c r="H269" s="2" t="s">
        <v>1580</v>
      </c>
      <c r="I269" s="2" t="s">
        <v>1629</v>
      </c>
      <c r="J269" s="2" t="s">
        <v>24</v>
      </c>
      <c r="K269" s="2" t="s">
        <v>1630</v>
      </c>
      <c r="L269" s="2" t="s">
        <v>686</v>
      </c>
      <c r="M269" s="2" t="s">
        <v>41</v>
      </c>
      <c r="N269" s="2" t="s">
        <v>1631</v>
      </c>
      <c r="O269" s="2" t="s">
        <v>29</v>
      </c>
      <c r="P269" s="2" t="s">
        <v>1632</v>
      </c>
    </row>
    <row r="270" customFormat="false" ht="46.25" hidden="false" customHeight="false" outlineLevel="0" collapsed="false">
      <c r="A270" s="2" t="s">
        <v>94</v>
      </c>
      <c r="B270" s="2" t="s">
        <v>31</v>
      </c>
      <c r="C270" s="2" t="s">
        <v>1633</v>
      </c>
      <c r="D270" s="2" t="s">
        <v>33</v>
      </c>
      <c r="E270" s="2" t="s">
        <v>78</v>
      </c>
      <c r="F270" s="2" t="s">
        <v>1634</v>
      </c>
      <c r="G270" s="2" t="s">
        <v>1635</v>
      </c>
      <c r="H270" s="2" t="s">
        <v>1580</v>
      </c>
      <c r="I270" s="2" t="s">
        <v>667</v>
      </c>
      <c r="J270" s="2" t="s">
        <v>24</v>
      </c>
      <c r="K270" s="2" t="s">
        <v>1636</v>
      </c>
      <c r="L270" s="2" t="s">
        <v>287</v>
      </c>
      <c r="M270" s="2" t="s">
        <v>41</v>
      </c>
      <c r="N270" s="2" t="s">
        <v>1637</v>
      </c>
      <c r="O270" s="2" t="s">
        <v>29</v>
      </c>
      <c r="P270" s="2" t="s">
        <v>1638</v>
      </c>
    </row>
    <row r="271" customFormat="false" ht="46.25" hidden="false" customHeight="false" outlineLevel="0" collapsed="false">
      <c r="A271" s="2" t="s">
        <v>94</v>
      </c>
      <c r="B271" s="2" t="s">
        <v>51</v>
      </c>
      <c r="C271" s="2" t="s">
        <v>1639</v>
      </c>
      <c r="D271" s="2" t="s">
        <v>33</v>
      </c>
      <c r="E271" s="2" t="s">
        <v>112</v>
      </c>
      <c r="F271" s="2" t="s">
        <v>1640</v>
      </c>
      <c r="G271" s="2" t="s">
        <v>1641</v>
      </c>
      <c r="H271" s="2" t="s">
        <v>314</v>
      </c>
      <c r="I271" s="2" t="s">
        <v>237</v>
      </c>
      <c r="J271" s="2" t="s">
        <v>24</v>
      </c>
      <c r="K271" s="2" t="s">
        <v>25</v>
      </c>
      <c r="L271" s="2" t="s">
        <v>1642</v>
      </c>
      <c r="M271" s="2" t="s">
        <v>27</v>
      </c>
      <c r="N271" s="2" t="s">
        <v>1643</v>
      </c>
      <c r="O271" s="2" t="s">
        <v>29</v>
      </c>
      <c r="P271" s="2" t="s">
        <v>1644</v>
      </c>
    </row>
    <row r="272" customFormat="false" ht="46.25" hidden="false" customHeight="false" outlineLevel="0" collapsed="false">
      <c r="A272" s="2" t="s">
        <v>94</v>
      </c>
      <c r="B272" s="2" t="s">
        <v>31</v>
      </c>
      <c r="C272" s="2" t="s">
        <v>1645</v>
      </c>
      <c r="D272" s="2" t="s">
        <v>33</v>
      </c>
      <c r="E272" s="2" t="s">
        <v>112</v>
      </c>
      <c r="F272" s="2" t="s">
        <v>1646</v>
      </c>
      <c r="G272" s="2" t="s">
        <v>1647</v>
      </c>
      <c r="H272" s="2" t="s">
        <v>314</v>
      </c>
      <c r="I272" s="2" t="s">
        <v>237</v>
      </c>
      <c r="J272" s="2" t="s">
        <v>24</v>
      </c>
      <c r="K272" s="2" t="s">
        <v>25</v>
      </c>
      <c r="L272" s="2" t="s">
        <v>1648</v>
      </c>
      <c r="M272" s="2" t="s">
        <v>27</v>
      </c>
      <c r="N272" s="2" t="s">
        <v>1649</v>
      </c>
      <c r="O272" s="2" t="s">
        <v>29</v>
      </c>
      <c r="P272" s="2" t="s">
        <v>1650</v>
      </c>
    </row>
    <row r="273" customFormat="false" ht="35.05" hidden="false" customHeight="false" outlineLevel="0" collapsed="false">
      <c r="A273" s="2" t="s">
        <v>94</v>
      </c>
      <c r="B273" s="2" t="s">
        <v>51</v>
      </c>
      <c r="C273" s="2" t="s">
        <v>1651</v>
      </c>
      <c r="D273" s="2" t="s">
        <v>71</v>
      </c>
      <c r="E273" s="2" t="s">
        <v>112</v>
      </c>
      <c r="F273" s="2" t="s">
        <v>1652</v>
      </c>
      <c r="G273" s="2" t="s">
        <v>1653</v>
      </c>
      <c r="H273" s="2" t="s">
        <v>314</v>
      </c>
      <c r="I273" s="2" t="s">
        <v>82</v>
      </c>
      <c r="J273" s="2" t="s">
        <v>24</v>
      </c>
      <c r="K273" s="2" t="s">
        <v>25</v>
      </c>
      <c r="L273" s="2" t="s">
        <v>1413</v>
      </c>
      <c r="M273" s="2" t="s">
        <v>41</v>
      </c>
      <c r="N273" s="2" t="s">
        <v>1654</v>
      </c>
      <c r="O273" s="2" t="s">
        <v>29</v>
      </c>
      <c r="P273" s="2" t="s">
        <v>1655</v>
      </c>
    </row>
    <row r="274" customFormat="false" ht="46.25" hidden="false" customHeight="false" outlineLevel="0" collapsed="false">
      <c r="A274" s="2" t="s">
        <v>94</v>
      </c>
      <c r="B274" s="2" t="s">
        <v>51</v>
      </c>
      <c r="C274" s="2" t="s">
        <v>1656</v>
      </c>
      <c r="D274" s="2" t="s">
        <v>71</v>
      </c>
      <c r="E274" s="2" t="s">
        <v>34</v>
      </c>
      <c r="F274" s="2" t="s">
        <v>1657</v>
      </c>
      <c r="G274" s="2" t="s">
        <v>1658</v>
      </c>
      <c r="H274" s="2" t="s">
        <v>1659</v>
      </c>
      <c r="I274" s="2" t="s">
        <v>1660</v>
      </c>
      <c r="J274" s="2" t="s">
        <v>24</v>
      </c>
      <c r="K274" s="2" t="s">
        <v>25</v>
      </c>
      <c r="L274" s="2" t="s">
        <v>1661</v>
      </c>
      <c r="M274" s="2" t="s">
        <v>27</v>
      </c>
      <c r="N274" s="2" t="s">
        <v>1662</v>
      </c>
      <c r="O274" s="2" t="s">
        <v>29</v>
      </c>
      <c r="P274" s="2" t="s">
        <v>1663</v>
      </c>
    </row>
    <row r="275" customFormat="false" ht="35.05" hidden="false" customHeight="false" outlineLevel="0" collapsed="false">
      <c r="A275" s="2" t="s">
        <v>94</v>
      </c>
      <c r="B275" s="2" t="s">
        <v>31</v>
      </c>
      <c r="C275" s="2" t="s">
        <v>1664</v>
      </c>
      <c r="D275" s="2" t="s">
        <v>33</v>
      </c>
      <c r="E275" s="2" t="s">
        <v>34</v>
      </c>
      <c r="F275" s="2" t="s">
        <v>1665</v>
      </c>
      <c r="G275" s="2" t="s">
        <v>1666</v>
      </c>
      <c r="H275" s="2" t="s">
        <v>980</v>
      </c>
      <c r="I275" s="2" t="s">
        <v>1667</v>
      </c>
      <c r="J275" s="2" t="s">
        <v>24</v>
      </c>
      <c r="K275" s="2" t="s">
        <v>25</v>
      </c>
      <c r="L275" s="2" t="s">
        <v>1668</v>
      </c>
      <c r="M275" s="2" t="s">
        <v>278</v>
      </c>
      <c r="N275" s="2" t="s">
        <v>1669</v>
      </c>
      <c r="O275" s="2" t="s">
        <v>29</v>
      </c>
      <c r="P275" s="2" t="s">
        <v>1670</v>
      </c>
    </row>
    <row r="276" customFormat="false" ht="46.25" hidden="false" customHeight="false" outlineLevel="0" collapsed="false">
      <c r="A276" s="2" t="s">
        <v>94</v>
      </c>
      <c r="B276" s="2" t="s">
        <v>51</v>
      </c>
      <c r="C276" s="2" t="s">
        <v>1671</v>
      </c>
      <c r="D276" s="2" t="s">
        <v>71</v>
      </c>
      <c r="E276" s="2" t="s">
        <v>34</v>
      </c>
      <c r="F276" s="2" t="s">
        <v>1672</v>
      </c>
      <c r="G276" s="2" t="s">
        <v>1673</v>
      </c>
      <c r="H276" s="2" t="s">
        <v>987</v>
      </c>
      <c r="I276" s="2" t="s">
        <v>82</v>
      </c>
      <c r="J276" s="2" t="s">
        <v>24</v>
      </c>
      <c r="K276" s="2" t="s">
        <v>25</v>
      </c>
      <c r="L276" s="2" t="s">
        <v>1674</v>
      </c>
      <c r="M276" s="2" t="s">
        <v>27</v>
      </c>
      <c r="N276" s="2" t="s">
        <v>1675</v>
      </c>
      <c r="O276" s="2" t="s">
        <v>29</v>
      </c>
      <c r="P276" s="2" t="s">
        <v>1676</v>
      </c>
    </row>
    <row r="277" customFormat="false" ht="46.25" hidden="false" customHeight="false" outlineLevel="0" collapsed="false">
      <c r="A277" s="2" t="s">
        <v>94</v>
      </c>
      <c r="B277" s="2" t="s">
        <v>51</v>
      </c>
      <c r="C277" s="2" t="s">
        <v>1677</v>
      </c>
      <c r="D277" s="2" t="s">
        <v>71</v>
      </c>
      <c r="E277" s="2" t="s">
        <v>34</v>
      </c>
      <c r="F277" s="2" t="s">
        <v>1678</v>
      </c>
      <c r="G277" s="2" t="s">
        <v>1679</v>
      </c>
      <c r="H277" s="2" t="s">
        <v>563</v>
      </c>
      <c r="I277" s="2" t="s">
        <v>522</v>
      </c>
      <c r="J277" s="2" t="s">
        <v>24</v>
      </c>
      <c r="K277" s="2" t="s">
        <v>25</v>
      </c>
      <c r="L277" s="2" t="s">
        <v>1680</v>
      </c>
      <c r="M277" s="2" t="s">
        <v>41</v>
      </c>
      <c r="N277" s="2" t="s">
        <v>1681</v>
      </c>
      <c r="O277" s="2" t="s">
        <v>29</v>
      </c>
      <c r="P277" s="2" t="s">
        <v>1682</v>
      </c>
    </row>
    <row r="278" customFormat="false" ht="46.25" hidden="false" customHeight="false" outlineLevel="0" collapsed="false">
      <c r="A278" s="2" t="s">
        <v>94</v>
      </c>
      <c r="B278" s="2" t="s">
        <v>51</v>
      </c>
      <c r="C278" s="2" t="s">
        <v>1683</v>
      </c>
      <c r="D278" s="2" t="s">
        <v>33</v>
      </c>
      <c r="E278" s="2" t="s">
        <v>34</v>
      </c>
      <c r="F278" s="2" t="s">
        <v>1684</v>
      </c>
      <c r="G278" s="2" t="s">
        <v>1685</v>
      </c>
      <c r="H278" s="2" t="s">
        <v>563</v>
      </c>
      <c r="I278" s="2" t="s">
        <v>69</v>
      </c>
      <c r="J278" s="2" t="s">
        <v>24</v>
      </c>
      <c r="K278" s="2" t="s">
        <v>25</v>
      </c>
      <c r="L278" s="2" t="s">
        <v>1686</v>
      </c>
      <c r="M278" s="2" t="s">
        <v>27</v>
      </c>
      <c r="N278" s="2" t="s">
        <v>1687</v>
      </c>
      <c r="O278" s="2" t="s">
        <v>29</v>
      </c>
      <c r="P278" s="2" t="s">
        <v>1688</v>
      </c>
    </row>
    <row r="279" customFormat="false" ht="46.25" hidden="false" customHeight="false" outlineLevel="0" collapsed="false">
      <c r="A279" s="2" t="s">
        <v>94</v>
      </c>
      <c r="B279" s="2" t="s">
        <v>51</v>
      </c>
      <c r="C279" s="2" t="s">
        <v>1689</v>
      </c>
      <c r="D279" s="2" t="s">
        <v>71</v>
      </c>
      <c r="E279" s="2" t="s">
        <v>34</v>
      </c>
      <c r="F279" s="2" t="s">
        <v>1690</v>
      </c>
      <c r="G279" s="2" t="s">
        <v>1691</v>
      </c>
      <c r="H279" s="2" t="s">
        <v>563</v>
      </c>
      <c r="I279" s="2" t="s">
        <v>1692</v>
      </c>
      <c r="J279" s="2" t="s">
        <v>24</v>
      </c>
      <c r="K279" s="2" t="s">
        <v>25</v>
      </c>
      <c r="L279" s="2" t="s">
        <v>1693</v>
      </c>
      <c r="M279" s="2" t="s">
        <v>100</v>
      </c>
      <c r="N279" s="2" t="s">
        <v>1694</v>
      </c>
      <c r="O279" s="2" t="s">
        <v>29</v>
      </c>
      <c r="P279" s="2" t="s">
        <v>1695</v>
      </c>
    </row>
    <row r="280" customFormat="false" ht="46.25" hidden="false" customHeight="false" outlineLevel="0" collapsed="false">
      <c r="A280" s="2" t="s">
        <v>379</v>
      </c>
      <c r="B280" s="2" t="s">
        <v>51</v>
      </c>
      <c r="C280" s="2" t="s">
        <v>1696</v>
      </c>
      <c r="D280" s="2" t="s">
        <v>71</v>
      </c>
      <c r="E280" s="2" t="s">
        <v>34</v>
      </c>
      <c r="F280" s="2" t="s">
        <v>1697</v>
      </c>
      <c r="G280" s="2" t="s">
        <v>1698</v>
      </c>
      <c r="H280" s="2" t="s">
        <v>292</v>
      </c>
      <c r="I280" s="2" t="s">
        <v>1259</v>
      </c>
      <c r="J280" s="2" t="s">
        <v>24</v>
      </c>
      <c r="K280" s="2" t="s">
        <v>25</v>
      </c>
      <c r="L280" s="2" t="s">
        <v>1699</v>
      </c>
      <c r="M280" s="2" t="s">
        <v>27</v>
      </c>
      <c r="N280" s="2" t="s">
        <v>1700</v>
      </c>
      <c r="O280" s="2" t="s">
        <v>29</v>
      </c>
      <c r="P280" s="2" t="s">
        <v>1701</v>
      </c>
    </row>
    <row r="281" customFormat="false" ht="57.45" hidden="false" customHeight="false" outlineLevel="0" collapsed="false">
      <c r="A281" s="2" t="s">
        <v>379</v>
      </c>
      <c r="B281" s="2" t="s">
        <v>17</v>
      </c>
      <c r="C281" s="2" t="s">
        <v>1702</v>
      </c>
      <c r="D281" s="2" t="s">
        <v>19</v>
      </c>
      <c r="E281" s="2" t="s">
        <v>17</v>
      </c>
      <c r="F281" s="2" t="s">
        <v>1703</v>
      </c>
      <c r="G281" s="2" t="s">
        <v>1704</v>
      </c>
      <c r="H281" s="2" t="s">
        <v>1705</v>
      </c>
      <c r="I281" s="2" t="s">
        <v>140</v>
      </c>
      <c r="J281" s="2" t="s">
        <v>24</v>
      </c>
      <c r="K281" s="2" t="s">
        <v>25</v>
      </c>
      <c r="L281" s="2" t="s">
        <v>1706</v>
      </c>
      <c r="M281" s="2" t="s">
        <v>100</v>
      </c>
      <c r="N281" s="2" t="s">
        <v>1707</v>
      </c>
      <c r="O281" s="2" t="s">
        <v>29</v>
      </c>
      <c r="P281" s="2" t="s">
        <v>1708</v>
      </c>
    </row>
    <row r="282" customFormat="false" ht="46.25" hidden="false" customHeight="false" outlineLevel="0" collapsed="false">
      <c r="A282" s="2" t="s">
        <v>379</v>
      </c>
      <c r="B282" s="2" t="s">
        <v>43</v>
      </c>
      <c r="C282" s="2" t="s">
        <v>1709</v>
      </c>
      <c r="D282" s="2" t="s">
        <v>45</v>
      </c>
      <c r="E282" s="2" t="s">
        <v>34</v>
      </c>
      <c r="F282" s="2" t="s">
        <v>1710</v>
      </c>
      <c r="G282" s="2" t="s">
        <v>1711</v>
      </c>
      <c r="H282" s="2" t="s">
        <v>1712</v>
      </c>
      <c r="I282" s="2" t="s">
        <v>564</v>
      </c>
      <c r="J282" s="2" t="s">
        <v>24</v>
      </c>
      <c r="K282" s="2" t="s">
        <v>25</v>
      </c>
      <c r="L282" s="2" t="s">
        <v>1713</v>
      </c>
      <c r="M282" s="2" t="s">
        <v>27</v>
      </c>
      <c r="N282" s="2" t="s">
        <v>1714</v>
      </c>
      <c r="O282" s="2" t="s">
        <v>29</v>
      </c>
      <c r="P282" s="2" t="s">
        <v>1715</v>
      </c>
    </row>
    <row r="283" customFormat="false" ht="46.25" hidden="false" customHeight="false" outlineLevel="0" collapsed="false">
      <c r="A283" s="2" t="s">
        <v>379</v>
      </c>
      <c r="B283" s="2" t="s">
        <v>43</v>
      </c>
      <c r="C283" s="2" t="s">
        <v>1716</v>
      </c>
      <c r="D283" s="2" t="s">
        <v>45</v>
      </c>
      <c r="E283" s="2" t="s">
        <v>34</v>
      </c>
      <c r="F283" s="2" t="s">
        <v>1717</v>
      </c>
      <c r="G283" s="2" t="s">
        <v>1718</v>
      </c>
      <c r="H283" s="2" t="s">
        <v>292</v>
      </c>
      <c r="I283" s="2" t="s">
        <v>1314</v>
      </c>
      <c r="J283" s="2" t="s">
        <v>24</v>
      </c>
      <c r="K283" s="2" t="s">
        <v>25</v>
      </c>
      <c r="L283" s="2" t="s">
        <v>1719</v>
      </c>
      <c r="M283" s="2" t="s">
        <v>27</v>
      </c>
      <c r="N283" s="2" t="s">
        <v>1720</v>
      </c>
      <c r="O283" s="2" t="s">
        <v>29</v>
      </c>
      <c r="P283" s="2" t="s">
        <v>1721</v>
      </c>
    </row>
    <row r="284" customFormat="false" ht="46.25" hidden="false" customHeight="false" outlineLevel="0" collapsed="false">
      <c r="A284" s="2" t="s">
        <v>379</v>
      </c>
      <c r="B284" s="2" t="s">
        <v>43</v>
      </c>
      <c r="C284" s="2" t="s">
        <v>1722</v>
      </c>
      <c r="D284" s="2" t="s">
        <v>45</v>
      </c>
      <c r="E284" s="2" t="s">
        <v>34</v>
      </c>
      <c r="F284" s="2" t="s">
        <v>1723</v>
      </c>
      <c r="G284" s="2" t="s">
        <v>1724</v>
      </c>
      <c r="H284" s="2" t="s">
        <v>1725</v>
      </c>
      <c r="I284" s="2" t="s">
        <v>514</v>
      </c>
      <c r="J284" s="2" t="s">
        <v>24</v>
      </c>
      <c r="K284" s="2" t="s">
        <v>25</v>
      </c>
      <c r="L284" s="2" t="s">
        <v>743</v>
      </c>
      <c r="M284" s="2" t="s">
        <v>41</v>
      </c>
      <c r="N284" s="2" t="s">
        <v>1726</v>
      </c>
      <c r="O284" s="2" t="s">
        <v>29</v>
      </c>
      <c r="P284" s="2" t="s">
        <v>1727</v>
      </c>
    </row>
    <row r="285" customFormat="false" ht="46.25" hidden="false" customHeight="false" outlineLevel="0" collapsed="false">
      <c r="A285" s="2" t="s">
        <v>379</v>
      </c>
      <c r="B285" s="2" t="s">
        <v>43</v>
      </c>
      <c r="C285" s="2" t="s">
        <v>1728</v>
      </c>
      <c r="D285" s="2" t="s">
        <v>45</v>
      </c>
      <c r="E285" s="2" t="s">
        <v>34</v>
      </c>
      <c r="F285" s="2" t="s">
        <v>1729</v>
      </c>
      <c r="G285" s="2" t="s">
        <v>1730</v>
      </c>
      <c r="H285" s="2" t="s">
        <v>1731</v>
      </c>
      <c r="I285" s="2" t="s">
        <v>667</v>
      </c>
      <c r="J285" s="2" t="s">
        <v>24</v>
      </c>
      <c r="K285" s="2" t="s">
        <v>25</v>
      </c>
      <c r="L285" s="2" t="s">
        <v>1732</v>
      </c>
      <c r="M285" s="2" t="s">
        <v>27</v>
      </c>
      <c r="N285" s="2" t="s">
        <v>1733</v>
      </c>
      <c r="O285" s="2" t="s">
        <v>29</v>
      </c>
      <c r="P285" s="2" t="s">
        <v>1734</v>
      </c>
    </row>
    <row r="286" customFormat="false" ht="46.25" hidden="false" customHeight="false" outlineLevel="0" collapsed="false">
      <c r="A286" s="2" t="s">
        <v>379</v>
      </c>
      <c r="B286" s="2" t="s">
        <v>43</v>
      </c>
      <c r="C286" s="2" t="s">
        <v>1735</v>
      </c>
      <c r="D286" s="2" t="s">
        <v>71</v>
      </c>
      <c r="E286" s="2" t="s">
        <v>34</v>
      </c>
      <c r="F286" s="2" t="s">
        <v>1736</v>
      </c>
      <c r="G286" s="2" t="s">
        <v>1737</v>
      </c>
      <c r="H286" s="2" t="s">
        <v>292</v>
      </c>
      <c r="I286" s="2" t="s">
        <v>82</v>
      </c>
      <c r="J286" s="2" t="s">
        <v>24</v>
      </c>
      <c r="K286" s="2" t="s">
        <v>25</v>
      </c>
      <c r="L286" s="2" t="s">
        <v>1738</v>
      </c>
      <c r="M286" s="2" t="s">
        <v>27</v>
      </c>
      <c r="N286" s="2" t="s">
        <v>1739</v>
      </c>
      <c r="O286" s="2" t="s">
        <v>29</v>
      </c>
      <c r="P286" s="2" t="s">
        <v>1740</v>
      </c>
    </row>
    <row r="287" customFormat="false" ht="46.25" hidden="false" customHeight="false" outlineLevel="0" collapsed="false">
      <c r="A287" s="2" t="s">
        <v>379</v>
      </c>
      <c r="B287" s="2" t="s">
        <v>43</v>
      </c>
      <c r="C287" s="2" t="s">
        <v>1741</v>
      </c>
      <c r="D287" s="2" t="s">
        <v>45</v>
      </c>
      <c r="E287" s="2" t="s">
        <v>34</v>
      </c>
      <c r="F287" s="2" t="s">
        <v>1742</v>
      </c>
      <c r="G287" s="2" t="s">
        <v>1743</v>
      </c>
      <c r="H287" s="2" t="s">
        <v>1744</v>
      </c>
      <c r="I287" s="2" t="s">
        <v>1745</v>
      </c>
      <c r="J287" s="2" t="s">
        <v>24</v>
      </c>
      <c r="K287" s="2" t="s">
        <v>25</v>
      </c>
      <c r="L287" s="2" t="s">
        <v>1746</v>
      </c>
      <c r="M287" s="2" t="s">
        <v>27</v>
      </c>
      <c r="N287" s="2" t="s">
        <v>1747</v>
      </c>
      <c r="O287" s="2" t="s">
        <v>29</v>
      </c>
      <c r="P287" s="2" t="s">
        <v>1748</v>
      </c>
    </row>
    <row r="288" customFormat="false" ht="35.05" hidden="false" customHeight="false" outlineLevel="0" collapsed="false">
      <c r="A288" s="2" t="s">
        <v>379</v>
      </c>
      <c r="B288" s="2" t="s">
        <v>51</v>
      </c>
      <c r="C288" s="2" t="s">
        <v>1749</v>
      </c>
      <c r="D288" s="2" t="s">
        <v>53</v>
      </c>
      <c r="E288" s="2" t="s">
        <v>34</v>
      </c>
      <c r="F288" s="2" t="s">
        <v>1750</v>
      </c>
      <c r="G288" s="2" t="s">
        <v>1751</v>
      </c>
      <c r="H288" s="2" t="s">
        <v>935</v>
      </c>
      <c r="I288" s="2" t="s">
        <v>82</v>
      </c>
      <c r="J288" s="2" t="s">
        <v>24</v>
      </c>
      <c r="K288" s="2" t="s">
        <v>25</v>
      </c>
      <c r="L288" s="2" t="s">
        <v>1752</v>
      </c>
      <c r="M288" s="2" t="s">
        <v>27</v>
      </c>
      <c r="N288" s="2" t="s">
        <v>1753</v>
      </c>
      <c r="O288" s="2" t="s">
        <v>29</v>
      </c>
      <c r="P288" s="2" t="s">
        <v>1754</v>
      </c>
    </row>
    <row r="289" customFormat="false" ht="46.25" hidden="false" customHeight="false" outlineLevel="0" collapsed="false">
      <c r="A289" s="2" t="s">
        <v>379</v>
      </c>
      <c r="B289" s="2" t="s">
        <v>51</v>
      </c>
      <c r="C289" s="2" t="s">
        <v>1755</v>
      </c>
      <c r="D289" s="2" t="s">
        <v>53</v>
      </c>
      <c r="E289" s="2" t="s">
        <v>34</v>
      </c>
      <c r="F289" s="2" t="s">
        <v>1756</v>
      </c>
      <c r="G289" s="2" t="s">
        <v>1757</v>
      </c>
      <c r="H289" s="2" t="s">
        <v>672</v>
      </c>
      <c r="I289" s="2" t="s">
        <v>69</v>
      </c>
      <c r="J289" s="2" t="s">
        <v>24</v>
      </c>
      <c r="K289" s="2" t="s">
        <v>25</v>
      </c>
      <c r="L289" s="2" t="s">
        <v>1758</v>
      </c>
      <c r="M289" s="2" t="s">
        <v>100</v>
      </c>
      <c r="N289" s="2" t="s">
        <v>1759</v>
      </c>
      <c r="O289" s="2" t="s">
        <v>29</v>
      </c>
      <c r="P289" s="2" t="s">
        <v>1760</v>
      </c>
    </row>
    <row r="290" customFormat="false" ht="46.25" hidden="false" customHeight="false" outlineLevel="0" collapsed="false">
      <c r="A290" s="2" t="s">
        <v>379</v>
      </c>
      <c r="B290" s="2" t="s">
        <v>51</v>
      </c>
      <c r="C290" s="2" t="s">
        <v>1761</v>
      </c>
      <c r="D290" s="2" t="s">
        <v>53</v>
      </c>
      <c r="E290" s="2" t="s">
        <v>34</v>
      </c>
      <c r="F290" s="2" t="s">
        <v>1762</v>
      </c>
      <c r="G290" s="2" t="s">
        <v>1763</v>
      </c>
      <c r="H290" s="2" t="s">
        <v>292</v>
      </c>
      <c r="I290" s="2" t="s">
        <v>82</v>
      </c>
      <c r="J290" s="2" t="s">
        <v>24</v>
      </c>
      <c r="K290" s="2" t="s">
        <v>25</v>
      </c>
      <c r="L290" s="2" t="s">
        <v>1764</v>
      </c>
      <c r="M290" s="2" t="s">
        <v>27</v>
      </c>
      <c r="N290" s="2" t="s">
        <v>1765</v>
      </c>
      <c r="O290" s="2" t="s">
        <v>29</v>
      </c>
      <c r="P290" s="2" t="s">
        <v>1766</v>
      </c>
    </row>
    <row r="291" customFormat="false" ht="57.45" hidden="false" customHeight="false" outlineLevel="0" collapsed="false">
      <c r="A291" s="2" t="s">
        <v>379</v>
      </c>
      <c r="B291" s="2" t="s">
        <v>17</v>
      </c>
      <c r="C291" s="2" t="s">
        <v>1767</v>
      </c>
      <c r="D291" s="2" t="s">
        <v>19</v>
      </c>
      <c r="E291" s="2" t="s">
        <v>17</v>
      </c>
      <c r="F291" s="2" t="s">
        <v>1768</v>
      </c>
      <c r="G291" s="2" t="s">
        <v>1769</v>
      </c>
      <c r="H291" s="2" t="s">
        <v>1493</v>
      </c>
      <c r="I291" s="2" t="s">
        <v>742</v>
      </c>
      <c r="J291" s="2" t="s">
        <v>24</v>
      </c>
      <c r="K291" s="2" t="s">
        <v>25</v>
      </c>
      <c r="L291" s="2" t="s">
        <v>1770</v>
      </c>
      <c r="M291" s="2" t="s">
        <v>100</v>
      </c>
      <c r="N291" s="2" t="s">
        <v>1771</v>
      </c>
      <c r="O291" s="2" t="s">
        <v>29</v>
      </c>
      <c r="P291" s="2" t="s">
        <v>1772</v>
      </c>
    </row>
    <row r="292" customFormat="false" ht="35.05" hidden="false" customHeight="false" outlineLevel="0" collapsed="false">
      <c r="A292" s="2" t="s">
        <v>379</v>
      </c>
      <c r="B292" s="2" t="s">
        <v>17</v>
      </c>
      <c r="C292" s="2" t="s">
        <v>1773</v>
      </c>
      <c r="D292" s="2" t="s">
        <v>19</v>
      </c>
      <c r="E292" s="2" t="s">
        <v>17</v>
      </c>
      <c r="F292" s="2" t="s">
        <v>1774</v>
      </c>
      <c r="G292" s="2" t="s">
        <v>1775</v>
      </c>
      <c r="H292" s="2" t="s">
        <v>1776</v>
      </c>
      <c r="I292" s="2" t="s">
        <v>826</v>
      </c>
      <c r="J292" s="2" t="s">
        <v>24</v>
      </c>
      <c r="K292" s="2" t="s">
        <v>25</v>
      </c>
      <c r="L292" s="2" t="s">
        <v>1777</v>
      </c>
      <c r="M292" s="2" t="s">
        <v>100</v>
      </c>
      <c r="N292" s="2" t="s">
        <v>1778</v>
      </c>
      <c r="O292" s="2" t="s">
        <v>29</v>
      </c>
      <c r="P292" s="2" t="s">
        <v>1779</v>
      </c>
    </row>
    <row r="293" customFormat="false" ht="35.05" hidden="false" customHeight="false" outlineLevel="0" collapsed="false">
      <c r="A293" s="2" t="s">
        <v>379</v>
      </c>
      <c r="B293" s="2" t="s">
        <v>43</v>
      </c>
      <c r="C293" s="2" t="s">
        <v>1780</v>
      </c>
      <c r="D293" s="2" t="s">
        <v>45</v>
      </c>
      <c r="E293" s="2" t="s">
        <v>34</v>
      </c>
      <c r="F293" s="2" t="s">
        <v>1781</v>
      </c>
      <c r="G293" s="2" t="s">
        <v>1782</v>
      </c>
      <c r="H293" s="2" t="s">
        <v>1783</v>
      </c>
      <c r="I293" s="2" t="s">
        <v>69</v>
      </c>
      <c r="J293" s="2" t="s">
        <v>24</v>
      </c>
      <c r="K293" s="2" t="s">
        <v>25</v>
      </c>
      <c r="L293" s="2" t="s">
        <v>1784</v>
      </c>
      <c r="M293" s="2" t="s">
        <v>41</v>
      </c>
      <c r="N293" s="2" t="s">
        <v>1785</v>
      </c>
      <c r="O293" s="2" t="s">
        <v>29</v>
      </c>
      <c r="P293" s="2" t="s">
        <v>1786</v>
      </c>
    </row>
    <row r="294" customFormat="false" ht="46.25" hidden="false" customHeight="false" outlineLevel="0" collapsed="false">
      <c r="A294" s="2" t="s">
        <v>379</v>
      </c>
      <c r="B294" s="2" t="s">
        <v>43</v>
      </c>
      <c r="C294" s="2" t="s">
        <v>1787</v>
      </c>
      <c r="D294" s="2" t="s">
        <v>45</v>
      </c>
      <c r="E294" s="2" t="s">
        <v>34</v>
      </c>
      <c r="F294" s="2" t="s">
        <v>1788</v>
      </c>
      <c r="G294" s="2" t="s">
        <v>1789</v>
      </c>
      <c r="H294" s="2" t="s">
        <v>1790</v>
      </c>
      <c r="I294" s="2" t="s">
        <v>57</v>
      </c>
      <c r="J294" s="2" t="s">
        <v>24</v>
      </c>
      <c r="K294" s="2" t="s">
        <v>25</v>
      </c>
      <c r="L294" s="2" t="s">
        <v>1791</v>
      </c>
      <c r="M294" s="2" t="s">
        <v>41</v>
      </c>
      <c r="N294" s="2" t="s">
        <v>1792</v>
      </c>
      <c r="O294" s="2" t="s">
        <v>29</v>
      </c>
      <c r="P294" s="2" t="s">
        <v>1793</v>
      </c>
    </row>
    <row r="295" customFormat="false" ht="46.25" hidden="false" customHeight="false" outlineLevel="0" collapsed="false">
      <c r="A295" s="4" t="s">
        <v>379</v>
      </c>
      <c r="B295" s="4" t="s">
        <v>43</v>
      </c>
      <c r="C295" s="4" t="s">
        <v>1794</v>
      </c>
      <c r="D295" s="4" t="s">
        <v>53</v>
      </c>
      <c r="E295" s="4" t="s">
        <v>34</v>
      </c>
      <c r="F295" s="4" t="s">
        <v>1795</v>
      </c>
      <c r="G295" s="4" t="s">
        <v>1796</v>
      </c>
      <c r="H295" s="4" t="s">
        <v>1797</v>
      </c>
      <c r="I295" s="4" t="s">
        <v>69</v>
      </c>
      <c r="J295" s="4" t="s">
        <v>24</v>
      </c>
      <c r="K295" s="4" t="s">
        <v>25</v>
      </c>
      <c r="L295" s="4" t="s">
        <v>1798</v>
      </c>
      <c r="M295" s="4" t="s">
        <v>278</v>
      </c>
      <c r="N295" s="4" t="s">
        <v>1799</v>
      </c>
      <c r="O295" s="4" t="s">
        <v>280</v>
      </c>
      <c r="P295" s="4" t="s">
        <v>1800</v>
      </c>
    </row>
    <row r="296" customFormat="false" ht="46.25" hidden="false" customHeight="false" outlineLevel="0" collapsed="false">
      <c r="A296" s="2" t="s">
        <v>379</v>
      </c>
      <c r="B296" s="2" t="s">
        <v>43</v>
      </c>
      <c r="C296" s="2" t="s">
        <v>1801</v>
      </c>
      <c r="D296" s="2" t="s">
        <v>53</v>
      </c>
      <c r="E296" s="2" t="s">
        <v>34</v>
      </c>
      <c r="F296" s="2" t="s">
        <v>1802</v>
      </c>
      <c r="G296" s="2" t="s">
        <v>1803</v>
      </c>
      <c r="H296" s="2" t="s">
        <v>1804</v>
      </c>
      <c r="I296" s="2" t="s">
        <v>1022</v>
      </c>
      <c r="J296" s="2" t="s">
        <v>24</v>
      </c>
      <c r="K296" s="2" t="s">
        <v>25</v>
      </c>
      <c r="L296" s="2" t="s">
        <v>1805</v>
      </c>
      <c r="M296" s="2" t="s">
        <v>41</v>
      </c>
      <c r="N296" s="2" t="s">
        <v>1806</v>
      </c>
      <c r="O296" s="2" t="s">
        <v>29</v>
      </c>
      <c r="P296" s="2" t="s">
        <v>1807</v>
      </c>
    </row>
    <row r="297" customFormat="false" ht="46.25" hidden="false" customHeight="false" outlineLevel="0" collapsed="false">
      <c r="A297" s="2" t="s">
        <v>379</v>
      </c>
      <c r="B297" s="2" t="s">
        <v>198</v>
      </c>
      <c r="C297" s="2" t="s">
        <v>1808</v>
      </c>
      <c r="D297" s="2" t="s">
        <v>200</v>
      </c>
      <c r="E297" s="2" t="s">
        <v>78</v>
      </c>
      <c r="F297" s="2" t="s">
        <v>1809</v>
      </c>
      <c r="G297" s="2" t="s">
        <v>1810</v>
      </c>
      <c r="H297" s="2" t="s">
        <v>1811</v>
      </c>
      <c r="I297" s="2" t="s">
        <v>69</v>
      </c>
      <c r="J297" s="2" t="s">
        <v>24</v>
      </c>
      <c r="K297" s="2" t="s">
        <v>123</v>
      </c>
      <c r="L297" s="2" t="s">
        <v>777</v>
      </c>
      <c r="M297" s="2" t="s">
        <v>41</v>
      </c>
      <c r="N297" s="2" t="s">
        <v>1812</v>
      </c>
      <c r="O297" s="2" t="s">
        <v>29</v>
      </c>
      <c r="P297" s="2" t="s">
        <v>1813</v>
      </c>
    </row>
    <row r="298" customFormat="false" ht="46.25" hidden="false" customHeight="false" outlineLevel="0" collapsed="false">
      <c r="A298" s="4" t="s">
        <v>379</v>
      </c>
      <c r="B298" s="4" t="s">
        <v>198</v>
      </c>
      <c r="C298" s="4" t="s">
        <v>1814</v>
      </c>
      <c r="D298" s="4" t="s">
        <v>200</v>
      </c>
      <c r="E298" s="4" t="s">
        <v>78</v>
      </c>
      <c r="F298" s="4" t="s">
        <v>1815</v>
      </c>
      <c r="G298" s="4" t="s">
        <v>1816</v>
      </c>
      <c r="H298" s="4" t="s">
        <v>641</v>
      </c>
      <c r="I298" s="4" t="s">
        <v>1817</v>
      </c>
      <c r="J298" s="4" t="s">
        <v>24</v>
      </c>
      <c r="K298" s="4" t="s">
        <v>76</v>
      </c>
      <c r="L298" s="4" t="s">
        <v>686</v>
      </c>
      <c r="M298" s="4" t="s">
        <v>41</v>
      </c>
      <c r="N298" s="4" t="s">
        <v>1818</v>
      </c>
      <c r="O298" s="4" t="s">
        <v>280</v>
      </c>
      <c r="P298" s="4" t="s">
        <v>1819</v>
      </c>
    </row>
    <row r="299" customFormat="false" ht="46.25" hidden="false" customHeight="false" outlineLevel="0" collapsed="false">
      <c r="A299" s="2" t="s">
        <v>379</v>
      </c>
      <c r="B299" s="2" t="s">
        <v>43</v>
      </c>
      <c r="C299" s="2" t="s">
        <v>1820</v>
      </c>
      <c r="D299" s="2" t="s">
        <v>45</v>
      </c>
      <c r="E299" s="2" t="s">
        <v>78</v>
      </c>
      <c r="F299" s="2" t="s">
        <v>1821</v>
      </c>
      <c r="G299" s="2" t="s">
        <v>1822</v>
      </c>
      <c r="H299" s="2" t="s">
        <v>1823</v>
      </c>
      <c r="I299" s="2" t="s">
        <v>89</v>
      </c>
      <c r="J299" s="2" t="s">
        <v>24</v>
      </c>
      <c r="K299" s="2" t="s">
        <v>25</v>
      </c>
      <c r="L299" s="2" t="s">
        <v>1824</v>
      </c>
      <c r="M299" s="2" t="s">
        <v>27</v>
      </c>
      <c r="N299" s="2" t="s">
        <v>1825</v>
      </c>
      <c r="O299" s="2" t="s">
        <v>29</v>
      </c>
      <c r="P299" s="2" t="s">
        <v>1826</v>
      </c>
    </row>
    <row r="300" customFormat="false" ht="46.25" hidden="false" customHeight="false" outlineLevel="0" collapsed="false">
      <c r="A300" s="2" t="s">
        <v>379</v>
      </c>
      <c r="B300" s="2" t="s">
        <v>43</v>
      </c>
      <c r="C300" s="2" t="s">
        <v>1827</v>
      </c>
      <c r="D300" s="2" t="s">
        <v>45</v>
      </c>
      <c r="E300" s="2" t="s">
        <v>78</v>
      </c>
      <c r="F300" s="2" t="s">
        <v>1828</v>
      </c>
      <c r="G300" s="2" t="s">
        <v>1829</v>
      </c>
      <c r="H300" s="2" t="s">
        <v>1830</v>
      </c>
      <c r="I300" s="2" t="s">
        <v>522</v>
      </c>
      <c r="J300" s="2" t="s">
        <v>24</v>
      </c>
      <c r="K300" s="2" t="s">
        <v>25</v>
      </c>
      <c r="L300" s="2" t="s">
        <v>1805</v>
      </c>
      <c r="M300" s="2" t="s">
        <v>41</v>
      </c>
      <c r="N300" s="2" t="s">
        <v>1831</v>
      </c>
      <c r="O300" s="2" t="s">
        <v>29</v>
      </c>
      <c r="P300" s="2" t="s">
        <v>1832</v>
      </c>
    </row>
    <row r="301" customFormat="false" ht="46.25" hidden="false" customHeight="false" outlineLevel="0" collapsed="false">
      <c r="A301" s="2" t="s">
        <v>379</v>
      </c>
      <c r="B301" s="2" t="s">
        <v>43</v>
      </c>
      <c r="C301" s="2" t="s">
        <v>1833</v>
      </c>
      <c r="D301" s="2" t="s">
        <v>45</v>
      </c>
      <c r="E301" s="2" t="s">
        <v>78</v>
      </c>
      <c r="F301" s="2" t="s">
        <v>1834</v>
      </c>
      <c r="G301" s="2" t="s">
        <v>1835</v>
      </c>
      <c r="H301" s="2" t="s">
        <v>1790</v>
      </c>
      <c r="I301" s="2" t="s">
        <v>82</v>
      </c>
      <c r="J301" s="2" t="s">
        <v>24</v>
      </c>
      <c r="K301" s="2" t="s">
        <v>25</v>
      </c>
      <c r="L301" s="2" t="s">
        <v>1836</v>
      </c>
      <c r="M301" s="2" t="s">
        <v>41</v>
      </c>
      <c r="N301" s="2" t="s">
        <v>1837</v>
      </c>
      <c r="O301" s="2" t="s">
        <v>29</v>
      </c>
      <c r="P301" s="2" t="s">
        <v>1838</v>
      </c>
    </row>
    <row r="302" customFormat="false" ht="46.25" hidden="false" customHeight="false" outlineLevel="0" collapsed="false">
      <c r="A302" s="2" t="s">
        <v>379</v>
      </c>
      <c r="B302" s="2" t="s">
        <v>43</v>
      </c>
      <c r="C302" s="2" t="s">
        <v>1839</v>
      </c>
      <c r="D302" s="2" t="s">
        <v>53</v>
      </c>
      <c r="E302" s="2" t="s">
        <v>78</v>
      </c>
      <c r="F302" s="2" t="s">
        <v>1840</v>
      </c>
      <c r="G302" s="2" t="s">
        <v>1841</v>
      </c>
      <c r="H302" s="2" t="s">
        <v>1842</v>
      </c>
      <c r="I302" s="2" t="s">
        <v>514</v>
      </c>
      <c r="J302" s="2" t="s">
        <v>24</v>
      </c>
      <c r="K302" s="2" t="s">
        <v>123</v>
      </c>
      <c r="L302" s="2" t="s">
        <v>1843</v>
      </c>
      <c r="M302" s="2" t="s">
        <v>41</v>
      </c>
      <c r="N302" s="2" t="s">
        <v>1844</v>
      </c>
      <c r="O302" s="2" t="s">
        <v>29</v>
      </c>
      <c r="P302" s="2" t="s">
        <v>1845</v>
      </c>
    </row>
    <row r="303" customFormat="false" ht="35.05" hidden="false" customHeight="false" outlineLevel="0" collapsed="false">
      <c r="A303" s="4" t="s">
        <v>379</v>
      </c>
      <c r="B303" s="4" t="s">
        <v>51</v>
      </c>
      <c r="C303" s="4" t="s">
        <v>1846</v>
      </c>
      <c r="D303" s="4" t="s">
        <v>71</v>
      </c>
      <c r="E303" s="4" t="s">
        <v>34</v>
      </c>
      <c r="F303" s="4" t="s">
        <v>1847</v>
      </c>
      <c r="G303" s="4" t="s">
        <v>1848</v>
      </c>
      <c r="H303" s="4" t="s">
        <v>292</v>
      </c>
      <c r="I303" s="4" t="s">
        <v>82</v>
      </c>
      <c r="J303" s="4" t="s">
        <v>24</v>
      </c>
      <c r="K303" s="4" t="s">
        <v>25</v>
      </c>
      <c r="L303" s="4" t="s">
        <v>1849</v>
      </c>
      <c r="M303" s="4" t="s">
        <v>27</v>
      </c>
      <c r="N303" s="4" t="s">
        <v>1850</v>
      </c>
      <c r="O303" s="4" t="s">
        <v>280</v>
      </c>
      <c r="P303" s="4" t="s">
        <v>1851</v>
      </c>
    </row>
    <row r="304" customFormat="false" ht="35.05" hidden="false" customHeight="false" outlineLevel="0" collapsed="false">
      <c r="A304" s="2" t="s">
        <v>379</v>
      </c>
      <c r="B304" s="2" t="s">
        <v>51</v>
      </c>
      <c r="C304" s="2" t="s">
        <v>1852</v>
      </c>
      <c r="D304" s="2" t="s">
        <v>71</v>
      </c>
      <c r="E304" s="2" t="s">
        <v>34</v>
      </c>
      <c r="F304" s="2" t="s">
        <v>1853</v>
      </c>
      <c r="G304" s="2" t="s">
        <v>1854</v>
      </c>
      <c r="H304" s="2" t="s">
        <v>292</v>
      </c>
      <c r="I304" s="2" t="s">
        <v>82</v>
      </c>
      <c r="J304" s="2" t="s">
        <v>24</v>
      </c>
      <c r="K304" s="2" t="s">
        <v>25</v>
      </c>
      <c r="L304" s="2" t="s">
        <v>1855</v>
      </c>
      <c r="M304" s="2" t="s">
        <v>27</v>
      </c>
      <c r="N304" s="2" t="s">
        <v>1856</v>
      </c>
      <c r="O304" s="2" t="s">
        <v>29</v>
      </c>
      <c r="P304" s="2" t="s">
        <v>1857</v>
      </c>
    </row>
    <row r="305" customFormat="false" ht="68.65" hidden="false" customHeight="false" outlineLevel="0" collapsed="false">
      <c r="A305" s="2" t="s">
        <v>379</v>
      </c>
      <c r="B305" s="2" t="s">
        <v>51</v>
      </c>
      <c r="C305" s="2" t="s">
        <v>1858</v>
      </c>
      <c r="D305" s="2" t="s">
        <v>53</v>
      </c>
      <c r="E305" s="2" t="s">
        <v>34</v>
      </c>
      <c r="F305" s="2" t="s">
        <v>1859</v>
      </c>
      <c r="G305" s="2" t="s">
        <v>1860</v>
      </c>
      <c r="H305" s="2" t="s">
        <v>1804</v>
      </c>
      <c r="I305" s="2" t="s">
        <v>692</v>
      </c>
      <c r="J305" s="2" t="s">
        <v>24</v>
      </c>
      <c r="K305" s="2" t="s">
        <v>25</v>
      </c>
      <c r="L305" s="2" t="s">
        <v>1861</v>
      </c>
      <c r="M305" s="2" t="s">
        <v>27</v>
      </c>
      <c r="N305" s="2" t="s">
        <v>1862</v>
      </c>
      <c r="O305" s="2" t="s">
        <v>29</v>
      </c>
      <c r="P305" s="2" t="s">
        <v>1863</v>
      </c>
    </row>
    <row r="306" customFormat="false" ht="46.25" hidden="false" customHeight="false" outlineLevel="0" collapsed="false">
      <c r="A306" s="2" t="s">
        <v>379</v>
      </c>
      <c r="B306" s="2" t="s">
        <v>51</v>
      </c>
      <c r="C306" s="2" t="s">
        <v>1864</v>
      </c>
      <c r="D306" s="2" t="s">
        <v>71</v>
      </c>
      <c r="E306" s="2" t="s">
        <v>34</v>
      </c>
      <c r="F306" s="2" t="s">
        <v>1865</v>
      </c>
      <c r="G306" s="2" t="s">
        <v>1866</v>
      </c>
      <c r="H306" s="2" t="s">
        <v>1113</v>
      </c>
      <c r="I306" s="2" t="s">
        <v>514</v>
      </c>
      <c r="J306" s="2" t="s">
        <v>24</v>
      </c>
      <c r="K306" s="2" t="s">
        <v>25</v>
      </c>
      <c r="L306" s="2" t="s">
        <v>1867</v>
      </c>
      <c r="M306" s="2" t="s">
        <v>27</v>
      </c>
      <c r="N306" s="2" t="s">
        <v>1868</v>
      </c>
      <c r="O306" s="2" t="s">
        <v>29</v>
      </c>
      <c r="P306" s="2" t="s">
        <v>1869</v>
      </c>
    </row>
    <row r="307" customFormat="false" ht="46.25" hidden="false" customHeight="false" outlineLevel="0" collapsed="false">
      <c r="A307" s="2" t="s">
        <v>379</v>
      </c>
      <c r="B307" s="2" t="s">
        <v>31</v>
      </c>
      <c r="C307" s="2" t="s">
        <v>1870</v>
      </c>
      <c r="D307" s="2" t="s">
        <v>33</v>
      </c>
      <c r="E307" s="2" t="s">
        <v>17</v>
      </c>
      <c r="F307" s="2" t="s">
        <v>1871</v>
      </c>
      <c r="G307" s="2" t="s">
        <v>1872</v>
      </c>
      <c r="H307" s="2" t="s">
        <v>285</v>
      </c>
      <c r="I307" s="2" t="s">
        <v>146</v>
      </c>
      <c r="J307" s="2" t="s">
        <v>24</v>
      </c>
      <c r="K307" s="2" t="s">
        <v>25</v>
      </c>
      <c r="L307" s="2" t="s">
        <v>1873</v>
      </c>
      <c r="M307" s="2" t="s">
        <v>27</v>
      </c>
      <c r="N307" s="2" t="s">
        <v>1874</v>
      </c>
      <c r="O307" s="2" t="s">
        <v>29</v>
      </c>
      <c r="P307" s="2" t="s">
        <v>1875</v>
      </c>
    </row>
    <row r="308" customFormat="false" ht="46.25" hidden="false" customHeight="false" outlineLevel="0" collapsed="false">
      <c r="A308" s="2" t="s">
        <v>379</v>
      </c>
      <c r="B308" s="2" t="s">
        <v>31</v>
      </c>
      <c r="C308" s="2" t="s">
        <v>1876</v>
      </c>
      <c r="D308" s="2" t="s">
        <v>33</v>
      </c>
      <c r="E308" s="2" t="s">
        <v>34</v>
      </c>
      <c r="F308" s="2" t="s">
        <v>1877</v>
      </c>
      <c r="G308" s="2" t="s">
        <v>1878</v>
      </c>
      <c r="H308" s="2" t="s">
        <v>677</v>
      </c>
      <c r="I308" s="2" t="s">
        <v>623</v>
      </c>
      <c r="J308" s="2" t="s">
        <v>24</v>
      </c>
      <c r="K308" s="2" t="s">
        <v>25</v>
      </c>
      <c r="L308" s="2" t="s">
        <v>1879</v>
      </c>
      <c r="M308" s="2" t="s">
        <v>27</v>
      </c>
      <c r="N308" s="2" t="s">
        <v>1880</v>
      </c>
      <c r="O308" s="2" t="s">
        <v>29</v>
      </c>
      <c r="P308" s="2" t="s">
        <v>1881</v>
      </c>
    </row>
    <row r="309" customFormat="false" ht="57.45" hidden="false" customHeight="false" outlineLevel="0" collapsed="false">
      <c r="A309" s="2" t="s">
        <v>379</v>
      </c>
      <c r="B309" s="2" t="s">
        <v>51</v>
      </c>
      <c r="C309" s="2" t="s">
        <v>368</v>
      </c>
      <c r="D309" s="2" t="s">
        <v>71</v>
      </c>
      <c r="E309" s="2" t="s">
        <v>112</v>
      </c>
      <c r="F309" s="2" t="s">
        <v>1882</v>
      </c>
      <c r="G309" s="2" t="s">
        <v>1883</v>
      </c>
      <c r="H309" s="2" t="s">
        <v>1884</v>
      </c>
      <c r="I309" s="2" t="s">
        <v>344</v>
      </c>
      <c r="J309" s="2" t="s">
        <v>24</v>
      </c>
      <c r="K309" s="2" t="s">
        <v>25</v>
      </c>
      <c r="L309" s="2" t="s">
        <v>1885</v>
      </c>
      <c r="M309" s="2" t="s">
        <v>27</v>
      </c>
      <c r="N309" s="2" t="s">
        <v>1886</v>
      </c>
      <c r="O309" s="2" t="s">
        <v>29</v>
      </c>
      <c r="P309" s="2" t="s">
        <v>1887</v>
      </c>
    </row>
    <row r="310" customFormat="false" ht="35.05" hidden="false" customHeight="false" outlineLevel="0" collapsed="false">
      <c r="A310" s="2" t="s">
        <v>379</v>
      </c>
      <c r="B310" s="2" t="s">
        <v>51</v>
      </c>
      <c r="C310" s="2" t="s">
        <v>1888</v>
      </c>
      <c r="D310" s="2" t="s">
        <v>71</v>
      </c>
      <c r="E310" s="2" t="s">
        <v>34</v>
      </c>
      <c r="F310" s="2" t="s">
        <v>1889</v>
      </c>
      <c r="G310" s="2" t="s">
        <v>1890</v>
      </c>
      <c r="H310" s="2" t="s">
        <v>563</v>
      </c>
      <c r="I310" s="2" t="s">
        <v>1273</v>
      </c>
      <c r="J310" s="2" t="s">
        <v>24</v>
      </c>
      <c r="K310" s="2" t="s">
        <v>25</v>
      </c>
      <c r="L310" s="2" t="s">
        <v>1891</v>
      </c>
      <c r="M310" s="2" t="s">
        <v>27</v>
      </c>
      <c r="N310" s="2" t="s">
        <v>1892</v>
      </c>
      <c r="O310" s="2" t="s">
        <v>29</v>
      </c>
      <c r="P310" s="2" t="s">
        <v>1893</v>
      </c>
    </row>
    <row r="311" customFormat="false" ht="35.05" hidden="false" customHeight="false" outlineLevel="0" collapsed="false">
      <c r="A311" s="2" t="s">
        <v>379</v>
      </c>
      <c r="B311" s="2" t="s">
        <v>51</v>
      </c>
      <c r="C311" s="2" t="s">
        <v>1894</v>
      </c>
      <c r="D311" s="2" t="s">
        <v>71</v>
      </c>
      <c r="E311" s="2" t="s">
        <v>34</v>
      </c>
      <c r="F311" s="2" t="s">
        <v>1895</v>
      </c>
      <c r="G311" s="2" t="s">
        <v>1896</v>
      </c>
      <c r="H311" s="2" t="s">
        <v>1897</v>
      </c>
      <c r="I311" s="2" t="s">
        <v>1273</v>
      </c>
      <c r="J311" s="2" t="s">
        <v>24</v>
      </c>
      <c r="K311" s="2" t="s">
        <v>25</v>
      </c>
      <c r="L311" s="2" t="s">
        <v>1016</v>
      </c>
      <c r="M311" s="2" t="s">
        <v>41</v>
      </c>
      <c r="N311" s="2" t="s">
        <v>1898</v>
      </c>
      <c r="O311" s="2" t="s">
        <v>29</v>
      </c>
      <c r="P311" s="2" t="s">
        <v>1899</v>
      </c>
    </row>
    <row r="312" customFormat="false" ht="46.25" hidden="false" customHeight="false" outlineLevel="0" collapsed="false">
      <c r="A312" s="2" t="s">
        <v>379</v>
      </c>
      <c r="B312" s="2" t="s">
        <v>17</v>
      </c>
      <c r="C312" s="2" t="s">
        <v>1900</v>
      </c>
      <c r="D312" s="2" t="s">
        <v>19</v>
      </c>
      <c r="E312" s="2" t="s">
        <v>17</v>
      </c>
      <c r="F312" s="2" t="s">
        <v>1901</v>
      </c>
      <c r="G312" s="2" t="s">
        <v>1902</v>
      </c>
      <c r="H312" s="2" t="s">
        <v>1903</v>
      </c>
      <c r="I312" s="2" t="s">
        <v>1904</v>
      </c>
      <c r="J312" s="2" t="s">
        <v>24</v>
      </c>
      <c r="K312" s="2" t="s">
        <v>25</v>
      </c>
      <c r="L312" s="2" t="s">
        <v>1758</v>
      </c>
      <c r="M312" s="2" t="s">
        <v>100</v>
      </c>
      <c r="N312" s="2" t="s">
        <v>1905</v>
      </c>
      <c r="O312" s="2" t="s">
        <v>29</v>
      </c>
      <c r="P312" s="2" t="s">
        <v>1906</v>
      </c>
    </row>
    <row r="313" customFormat="false" ht="57.45" hidden="false" customHeight="false" outlineLevel="0" collapsed="false">
      <c r="A313" s="2" t="s">
        <v>379</v>
      </c>
      <c r="B313" s="2" t="s">
        <v>43</v>
      </c>
      <c r="C313" s="2" t="s">
        <v>1907</v>
      </c>
      <c r="D313" s="2" t="s">
        <v>45</v>
      </c>
      <c r="E313" s="2" t="s">
        <v>34</v>
      </c>
      <c r="F313" s="2" t="s">
        <v>1908</v>
      </c>
      <c r="G313" s="2" t="s">
        <v>1909</v>
      </c>
      <c r="H313" s="2" t="s">
        <v>1910</v>
      </c>
      <c r="I313" s="2" t="s">
        <v>1517</v>
      </c>
      <c r="J313" s="2" t="s">
        <v>24</v>
      </c>
      <c r="K313" s="2" t="s">
        <v>25</v>
      </c>
      <c r="L313" s="2" t="s">
        <v>1805</v>
      </c>
      <c r="M313" s="2" t="s">
        <v>41</v>
      </c>
      <c r="N313" s="2" t="s">
        <v>1911</v>
      </c>
      <c r="O313" s="2" t="s">
        <v>29</v>
      </c>
      <c r="P313" s="2" t="s">
        <v>1912</v>
      </c>
    </row>
    <row r="314" customFormat="false" ht="46.25" hidden="false" customHeight="false" outlineLevel="0" collapsed="false">
      <c r="A314" s="4" t="s">
        <v>379</v>
      </c>
      <c r="B314" s="4" t="s">
        <v>51</v>
      </c>
      <c r="C314" s="4" t="s">
        <v>1913</v>
      </c>
      <c r="D314" s="4" t="s">
        <v>45</v>
      </c>
      <c r="E314" s="4" t="s">
        <v>34</v>
      </c>
      <c r="F314" s="4" t="s">
        <v>1914</v>
      </c>
      <c r="G314" s="4" t="s">
        <v>1915</v>
      </c>
      <c r="H314" s="4" t="s">
        <v>1916</v>
      </c>
      <c r="I314" s="4" t="s">
        <v>1517</v>
      </c>
      <c r="J314" s="4" t="s">
        <v>24</v>
      </c>
      <c r="K314" s="4" t="s">
        <v>25</v>
      </c>
      <c r="L314" s="4" t="s">
        <v>1805</v>
      </c>
      <c r="M314" s="4" t="s">
        <v>41</v>
      </c>
      <c r="N314" s="4" t="s">
        <v>1911</v>
      </c>
      <c r="O314" s="4" t="s">
        <v>280</v>
      </c>
      <c r="P314" s="4" t="s">
        <v>1917</v>
      </c>
    </row>
    <row r="315" customFormat="false" ht="35.05" hidden="false" customHeight="false" outlineLevel="0" collapsed="false">
      <c r="A315" s="2" t="s">
        <v>379</v>
      </c>
      <c r="B315" s="2" t="s">
        <v>17</v>
      </c>
      <c r="C315" s="2" t="s">
        <v>1918</v>
      </c>
      <c r="D315" s="2" t="s">
        <v>19</v>
      </c>
      <c r="E315" s="2" t="s">
        <v>17</v>
      </c>
      <c r="F315" s="2" t="s">
        <v>1919</v>
      </c>
      <c r="G315" s="2" t="s">
        <v>1920</v>
      </c>
      <c r="H315" s="2" t="s">
        <v>1921</v>
      </c>
      <c r="I315" s="2" t="s">
        <v>82</v>
      </c>
      <c r="J315" s="2" t="s">
        <v>24</v>
      </c>
      <c r="K315" s="2" t="s">
        <v>25</v>
      </c>
      <c r="L315" s="2" t="s">
        <v>1922</v>
      </c>
      <c r="M315" s="2" t="s">
        <v>27</v>
      </c>
      <c r="N315" s="2" t="s">
        <v>1923</v>
      </c>
      <c r="O315" s="2" t="s">
        <v>29</v>
      </c>
      <c r="P315" s="2" t="s">
        <v>1924</v>
      </c>
    </row>
    <row r="316" customFormat="false" ht="35.05" hidden="false" customHeight="false" outlineLevel="0" collapsed="false">
      <c r="A316" s="2" t="s">
        <v>449</v>
      </c>
      <c r="B316" s="2" t="s">
        <v>51</v>
      </c>
      <c r="C316" s="2" t="s">
        <v>1925</v>
      </c>
      <c r="D316" s="2" t="s">
        <v>53</v>
      </c>
      <c r="E316" s="2" t="s">
        <v>34</v>
      </c>
      <c r="F316" s="2" t="s">
        <v>1926</v>
      </c>
      <c r="G316" s="2" t="s">
        <v>1927</v>
      </c>
      <c r="H316" s="2" t="s">
        <v>1928</v>
      </c>
      <c r="I316" s="2" t="s">
        <v>1929</v>
      </c>
      <c r="J316" s="2" t="s">
        <v>24</v>
      </c>
      <c r="K316" s="2" t="s">
        <v>25</v>
      </c>
      <c r="L316" s="2" t="s">
        <v>1930</v>
      </c>
      <c r="M316" s="2" t="s">
        <v>27</v>
      </c>
      <c r="N316" s="2" t="s">
        <v>1931</v>
      </c>
      <c r="O316" s="2" t="s">
        <v>29</v>
      </c>
      <c r="P316" s="2" t="s">
        <v>1932</v>
      </c>
    </row>
    <row r="317" customFormat="false" ht="35.05" hidden="false" customHeight="false" outlineLevel="0" collapsed="false">
      <c r="A317" s="2" t="s">
        <v>449</v>
      </c>
      <c r="B317" s="2" t="s">
        <v>51</v>
      </c>
      <c r="C317" s="2" t="s">
        <v>1925</v>
      </c>
      <c r="D317" s="2" t="s">
        <v>53</v>
      </c>
      <c r="E317" s="2" t="s">
        <v>34</v>
      </c>
      <c r="F317" s="2" t="s">
        <v>1933</v>
      </c>
      <c r="G317" s="2" t="s">
        <v>1934</v>
      </c>
      <c r="H317" s="2" t="s">
        <v>1928</v>
      </c>
      <c r="I317" s="2" t="s">
        <v>82</v>
      </c>
      <c r="J317" s="2" t="s">
        <v>24</v>
      </c>
      <c r="K317" s="2" t="s">
        <v>25</v>
      </c>
      <c r="L317" s="2" t="s">
        <v>1935</v>
      </c>
      <c r="M317" s="2" t="s">
        <v>27</v>
      </c>
      <c r="N317" s="2" t="s">
        <v>1936</v>
      </c>
      <c r="O317" s="2" t="s">
        <v>29</v>
      </c>
      <c r="P317" s="2" t="s">
        <v>1937</v>
      </c>
    </row>
    <row r="318" customFormat="false" ht="35.05" hidden="false" customHeight="false" outlineLevel="0" collapsed="false">
      <c r="A318" s="2" t="s">
        <v>449</v>
      </c>
      <c r="B318" s="2" t="s">
        <v>51</v>
      </c>
      <c r="C318" s="2" t="s">
        <v>1938</v>
      </c>
      <c r="D318" s="2" t="s">
        <v>53</v>
      </c>
      <c r="E318" s="2" t="s">
        <v>34</v>
      </c>
      <c r="F318" s="2" t="s">
        <v>1939</v>
      </c>
      <c r="G318" s="2" t="s">
        <v>1940</v>
      </c>
      <c r="H318" s="2" t="s">
        <v>1941</v>
      </c>
      <c r="I318" s="2" t="s">
        <v>286</v>
      </c>
      <c r="J318" s="2" t="s">
        <v>24</v>
      </c>
      <c r="K318" s="2" t="s">
        <v>25</v>
      </c>
      <c r="L318" s="2" t="s">
        <v>1942</v>
      </c>
      <c r="M318" s="2" t="s">
        <v>100</v>
      </c>
      <c r="N318" s="2" t="s">
        <v>1943</v>
      </c>
      <c r="O318" s="2" t="s">
        <v>29</v>
      </c>
      <c r="P318" s="2" t="s">
        <v>1944</v>
      </c>
    </row>
    <row r="319" customFormat="false" ht="35.05" hidden="false" customHeight="false" outlineLevel="0" collapsed="false">
      <c r="A319" s="2" t="s">
        <v>449</v>
      </c>
      <c r="B319" s="2" t="s">
        <v>51</v>
      </c>
      <c r="C319" s="2" t="s">
        <v>1925</v>
      </c>
      <c r="D319" s="2" t="s">
        <v>53</v>
      </c>
      <c r="E319" s="2" t="s">
        <v>34</v>
      </c>
      <c r="F319" s="2" t="s">
        <v>1945</v>
      </c>
      <c r="G319" s="2" t="s">
        <v>1946</v>
      </c>
      <c r="H319" s="2" t="s">
        <v>1928</v>
      </c>
      <c r="I319" s="2" t="s">
        <v>1300</v>
      </c>
      <c r="J319" s="2" t="s">
        <v>24</v>
      </c>
      <c r="K319" s="2" t="s">
        <v>25</v>
      </c>
      <c r="L319" s="2" t="s">
        <v>1947</v>
      </c>
      <c r="M319" s="2" t="s">
        <v>27</v>
      </c>
      <c r="N319" s="2" t="s">
        <v>1948</v>
      </c>
      <c r="O319" s="2" t="s">
        <v>29</v>
      </c>
      <c r="P319" s="2" t="s">
        <v>1949</v>
      </c>
    </row>
    <row r="320" customFormat="false" ht="35.05" hidden="false" customHeight="false" outlineLevel="0" collapsed="false">
      <c r="A320" s="2" t="s">
        <v>449</v>
      </c>
      <c r="B320" s="2" t="s">
        <v>51</v>
      </c>
      <c r="C320" s="2" t="s">
        <v>1925</v>
      </c>
      <c r="D320" s="2" t="s">
        <v>53</v>
      </c>
      <c r="E320" s="2" t="s">
        <v>34</v>
      </c>
      <c r="F320" s="2" t="s">
        <v>1950</v>
      </c>
      <c r="G320" s="2" t="s">
        <v>1951</v>
      </c>
      <c r="H320" s="2" t="s">
        <v>1928</v>
      </c>
      <c r="I320" s="2" t="s">
        <v>82</v>
      </c>
      <c r="J320" s="2" t="s">
        <v>24</v>
      </c>
      <c r="K320" s="2" t="s">
        <v>25</v>
      </c>
      <c r="L320" s="2" t="s">
        <v>1952</v>
      </c>
      <c r="M320" s="2" t="s">
        <v>27</v>
      </c>
      <c r="N320" s="2" t="s">
        <v>1953</v>
      </c>
      <c r="O320" s="2" t="s">
        <v>29</v>
      </c>
      <c r="P320" s="2" t="s">
        <v>1954</v>
      </c>
    </row>
    <row r="321" customFormat="false" ht="79.85" hidden="false" customHeight="false" outlineLevel="0" collapsed="false">
      <c r="A321" s="4" t="s">
        <v>449</v>
      </c>
      <c r="B321" s="4" t="s">
        <v>51</v>
      </c>
      <c r="C321" s="4" t="s">
        <v>1925</v>
      </c>
      <c r="D321" s="4" t="s">
        <v>53</v>
      </c>
      <c r="E321" s="4" t="s">
        <v>34</v>
      </c>
      <c r="F321" s="4" t="s">
        <v>1955</v>
      </c>
      <c r="G321" s="4" t="s">
        <v>1956</v>
      </c>
      <c r="H321" s="4" t="s">
        <v>1928</v>
      </c>
      <c r="I321" s="4" t="s">
        <v>1203</v>
      </c>
      <c r="J321" s="4" t="s">
        <v>455</v>
      </c>
      <c r="K321" s="4" t="s">
        <v>25</v>
      </c>
      <c r="L321" s="4" t="s">
        <v>1957</v>
      </c>
      <c r="M321" s="4" t="s">
        <v>27</v>
      </c>
      <c r="N321" s="4" t="s">
        <v>1958</v>
      </c>
      <c r="O321" s="4" t="s">
        <v>29</v>
      </c>
      <c r="P321" s="4" t="s">
        <v>1959</v>
      </c>
    </row>
    <row r="322" customFormat="false" ht="35.05" hidden="false" customHeight="false" outlineLevel="0" collapsed="false">
      <c r="A322" s="2" t="s">
        <v>449</v>
      </c>
      <c r="B322" s="2" t="s">
        <v>51</v>
      </c>
      <c r="C322" s="2" t="s">
        <v>1960</v>
      </c>
      <c r="D322" s="2" t="s">
        <v>53</v>
      </c>
      <c r="E322" s="2" t="s">
        <v>34</v>
      </c>
      <c r="F322" s="2" t="s">
        <v>1961</v>
      </c>
      <c r="G322" s="2" t="s">
        <v>1962</v>
      </c>
      <c r="H322" s="2" t="s">
        <v>1963</v>
      </c>
      <c r="I322" s="2" t="s">
        <v>1964</v>
      </c>
      <c r="J322" s="2" t="s">
        <v>24</v>
      </c>
      <c r="K322" s="2" t="s">
        <v>25</v>
      </c>
      <c r="L322" s="2" t="s">
        <v>1965</v>
      </c>
      <c r="M322" s="2" t="s">
        <v>41</v>
      </c>
      <c r="N322" s="2" t="s">
        <v>1966</v>
      </c>
      <c r="O322" s="2" t="s">
        <v>29</v>
      </c>
      <c r="P322" s="2" t="s">
        <v>1967</v>
      </c>
    </row>
    <row r="323" customFormat="false" ht="35.05" hidden="false" customHeight="false" outlineLevel="0" collapsed="false">
      <c r="A323" s="2" t="s">
        <v>449</v>
      </c>
      <c r="B323" s="2" t="s">
        <v>51</v>
      </c>
      <c r="C323" s="2" t="s">
        <v>1968</v>
      </c>
      <c r="D323" s="2" t="s">
        <v>71</v>
      </c>
      <c r="E323" s="2" t="s">
        <v>34</v>
      </c>
      <c r="F323" s="2" t="s">
        <v>1969</v>
      </c>
      <c r="G323" s="2" t="s">
        <v>1970</v>
      </c>
      <c r="H323" s="2" t="s">
        <v>1971</v>
      </c>
      <c r="I323" s="2" t="s">
        <v>1929</v>
      </c>
      <c r="J323" s="2" t="s">
        <v>24</v>
      </c>
      <c r="K323" s="2" t="s">
        <v>25</v>
      </c>
      <c r="L323" s="2" t="s">
        <v>1972</v>
      </c>
      <c r="M323" s="2" t="s">
        <v>27</v>
      </c>
      <c r="N323" s="2" t="s">
        <v>1973</v>
      </c>
      <c r="O323" s="2" t="s">
        <v>29</v>
      </c>
      <c r="P323" s="2" t="s">
        <v>1974</v>
      </c>
    </row>
    <row r="324" customFormat="false" ht="35.05" hidden="false" customHeight="false" outlineLevel="0" collapsed="false">
      <c r="A324" s="2" t="s">
        <v>449</v>
      </c>
      <c r="B324" s="2" t="s">
        <v>51</v>
      </c>
      <c r="C324" s="2" t="s">
        <v>1975</v>
      </c>
      <c r="D324" s="2" t="s">
        <v>71</v>
      </c>
      <c r="E324" s="2" t="s">
        <v>34</v>
      </c>
      <c r="F324" s="2" t="s">
        <v>1976</v>
      </c>
      <c r="G324" s="2" t="s">
        <v>1977</v>
      </c>
      <c r="H324" s="2" t="s">
        <v>1978</v>
      </c>
      <c r="I324" s="2" t="s">
        <v>1979</v>
      </c>
      <c r="J324" s="2" t="s">
        <v>24</v>
      </c>
      <c r="K324" s="2" t="s">
        <v>25</v>
      </c>
      <c r="L324" s="2" t="s">
        <v>1980</v>
      </c>
      <c r="M324" s="2" t="s">
        <v>41</v>
      </c>
      <c r="N324" s="2" t="s">
        <v>1981</v>
      </c>
      <c r="O324" s="2" t="s">
        <v>29</v>
      </c>
      <c r="P324" s="2" t="s">
        <v>1982</v>
      </c>
    </row>
    <row r="325" customFormat="false" ht="46.25" hidden="false" customHeight="false" outlineLevel="0" collapsed="false">
      <c r="A325" s="2" t="s">
        <v>449</v>
      </c>
      <c r="B325" s="2" t="s">
        <v>17</v>
      </c>
      <c r="C325" s="2" t="s">
        <v>1983</v>
      </c>
      <c r="D325" s="2" t="s">
        <v>53</v>
      </c>
      <c r="E325" s="2" t="s">
        <v>17</v>
      </c>
      <c r="F325" s="2" t="s">
        <v>1984</v>
      </c>
      <c r="G325" s="2" t="s">
        <v>1985</v>
      </c>
      <c r="H325" s="2" t="s">
        <v>1986</v>
      </c>
      <c r="I325" s="2" t="s">
        <v>82</v>
      </c>
      <c r="J325" s="2" t="s">
        <v>24</v>
      </c>
      <c r="K325" s="2" t="s">
        <v>25</v>
      </c>
      <c r="L325" s="2" t="s">
        <v>1987</v>
      </c>
      <c r="M325" s="2" t="s">
        <v>100</v>
      </c>
      <c r="N325" s="2" t="s">
        <v>1988</v>
      </c>
      <c r="O325" s="2" t="s">
        <v>29</v>
      </c>
      <c r="P325" s="2" t="s">
        <v>1989</v>
      </c>
    </row>
    <row r="326" customFormat="false" ht="35.05" hidden="false" customHeight="false" outlineLevel="0" collapsed="false">
      <c r="A326" s="2" t="s">
        <v>449</v>
      </c>
      <c r="B326" s="2" t="s">
        <v>17</v>
      </c>
      <c r="C326" s="2" t="s">
        <v>1990</v>
      </c>
      <c r="D326" s="2" t="s">
        <v>19</v>
      </c>
      <c r="E326" s="2" t="s">
        <v>17</v>
      </c>
      <c r="F326" s="2" t="s">
        <v>1991</v>
      </c>
      <c r="G326" s="2" t="s">
        <v>1992</v>
      </c>
      <c r="H326" s="2" t="s">
        <v>1993</v>
      </c>
      <c r="I326" s="2" t="s">
        <v>106</v>
      </c>
      <c r="J326" s="2" t="s">
        <v>24</v>
      </c>
      <c r="K326" s="2" t="s">
        <v>25</v>
      </c>
      <c r="L326" s="2" t="s">
        <v>1994</v>
      </c>
      <c r="M326" s="2" t="s">
        <v>100</v>
      </c>
      <c r="N326" s="2" t="s">
        <v>1995</v>
      </c>
      <c r="O326" s="2" t="s">
        <v>29</v>
      </c>
      <c r="P326" s="2" t="s">
        <v>1996</v>
      </c>
    </row>
    <row r="327" customFormat="false" ht="46.25" hidden="false" customHeight="false" outlineLevel="0" collapsed="false">
      <c r="A327" s="2" t="s">
        <v>449</v>
      </c>
      <c r="B327" s="2" t="s">
        <v>17</v>
      </c>
      <c r="C327" s="2" t="s">
        <v>1997</v>
      </c>
      <c r="D327" s="2" t="s">
        <v>19</v>
      </c>
      <c r="E327" s="2" t="s">
        <v>17</v>
      </c>
      <c r="F327" s="2" t="s">
        <v>1998</v>
      </c>
      <c r="G327" s="2" t="s">
        <v>1999</v>
      </c>
      <c r="H327" s="2" t="s">
        <v>2000</v>
      </c>
      <c r="I327" s="2" t="s">
        <v>82</v>
      </c>
      <c r="J327" s="2" t="s">
        <v>24</v>
      </c>
      <c r="K327" s="2" t="s">
        <v>25</v>
      </c>
      <c r="L327" s="2" t="s">
        <v>2001</v>
      </c>
      <c r="M327" s="2" t="s">
        <v>100</v>
      </c>
      <c r="N327" s="2" t="s">
        <v>2002</v>
      </c>
      <c r="O327" s="2" t="s">
        <v>29</v>
      </c>
      <c r="P327" s="2" t="s">
        <v>2003</v>
      </c>
    </row>
    <row r="328" customFormat="false" ht="35.05" hidden="false" customHeight="false" outlineLevel="0" collapsed="false">
      <c r="A328" s="2" t="s">
        <v>449</v>
      </c>
      <c r="B328" s="2" t="s">
        <v>51</v>
      </c>
      <c r="C328" s="2" t="s">
        <v>2004</v>
      </c>
      <c r="D328" s="2" t="s">
        <v>53</v>
      </c>
      <c r="E328" s="2" t="s">
        <v>34</v>
      </c>
      <c r="F328" s="2" t="s">
        <v>2005</v>
      </c>
      <c r="G328" s="2" t="s">
        <v>2006</v>
      </c>
      <c r="H328" s="2" t="s">
        <v>2007</v>
      </c>
      <c r="I328" s="2" t="s">
        <v>82</v>
      </c>
      <c r="J328" s="2" t="s">
        <v>24</v>
      </c>
      <c r="K328" s="2" t="s">
        <v>25</v>
      </c>
      <c r="L328" s="2" t="s">
        <v>2008</v>
      </c>
      <c r="M328" s="2" t="s">
        <v>41</v>
      </c>
      <c r="N328" s="2" t="s">
        <v>2009</v>
      </c>
      <c r="O328" s="2" t="s">
        <v>29</v>
      </c>
      <c r="P328" s="2" t="s">
        <v>2010</v>
      </c>
    </row>
    <row r="329" customFormat="false" ht="23.85" hidden="false" customHeight="false" outlineLevel="0" collapsed="false">
      <c r="A329" s="2" t="s">
        <v>449</v>
      </c>
      <c r="B329" s="2" t="s">
        <v>51</v>
      </c>
      <c r="C329" s="2" t="s">
        <v>2011</v>
      </c>
      <c r="D329" s="2" t="s">
        <v>71</v>
      </c>
      <c r="E329" s="2" t="s">
        <v>34</v>
      </c>
      <c r="F329" s="2" t="s">
        <v>2012</v>
      </c>
      <c r="G329" s="2" t="s">
        <v>2013</v>
      </c>
      <c r="H329" s="2" t="s">
        <v>2014</v>
      </c>
      <c r="I329" s="2" t="s">
        <v>69</v>
      </c>
      <c r="J329" s="2" t="s">
        <v>24</v>
      </c>
      <c r="K329" s="2" t="s">
        <v>25</v>
      </c>
      <c r="L329" s="2" t="s">
        <v>2015</v>
      </c>
      <c r="M329" s="2" t="s">
        <v>41</v>
      </c>
      <c r="N329" s="2" t="s">
        <v>2016</v>
      </c>
      <c r="O329" s="2" t="s">
        <v>29</v>
      </c>
      <c r="P329" s="2" t="s">
        <v>2017</v>
      </c>
    </row>
    <row r="330" customFormat="false" ht="46.25" hidden="false" customHeight="false" outlineLevel="0" collapsed="false">
      <c r="A330" s="2" t="s">
        <v>449</v>
      </c>
      <c r="B330" s="2" t="s">
        <v>51</v>
      </c>
      <c r="C330" s="2" t="s">
        <v>2018</v>
      </c>
      <c r="D330" s="2" t="s">
        <v>53</v>
      </c>
      <c r="E330" s="2" t="s">
        <v>34</v>
      </c>
      <c r="F330" s="2" t="s">
        <v>2019</v>
      </c>
      <c r="G330" s="2" t="s">
        <v>2020</v>
      </c>
      <c r="H330" s="2" t="s">
        <v>1113</v>
      </c>
      <c r="I330" s="2" t="s">
        <v>82</v>
      </c>
      <c r="J330" s="2" t="s">
        <v>24</v>
      </c>
      <c r="K330" s="2" t="s">
        <v>25</v>
      </c>
      <c r="L330" s="2" t="s">
        <v>1175</v>
      </c>
      <c r="M330" s="2" t="s">
        <v>100</v>
      </c>
      <c r="N330" s="2" t="s">
        <v>2021</v>
      </c>
      <c r="O330" s="2" t="s">
        <v>29</v>
      </c>
      <c r="P330" s="2" t="s">
        <v>2022</v>
      </c>
    </row>
    <row r="331" customFormat="false" ht="35.05" hidden="false" customHeight="false" outlineLevel="0" collapsed="false">
      <c r="A331" s="2" t="s">
        <v>449</v>
      </c>
      <c r="B331" s="2" t="s">
        <v>51</v>
      </c>
      <c r="C331" s="2" t="s">
        <v>2023</v>
      </c>
      <c r="D331" s="2" t="s">
        <v>71</v>
      </c>
      <c r="E331" s="2" t="s">
        <v>34</v>
      </c>
      <c r="F331" s="2" t="s">
        <v>2024</v>
      </c>
      <c r="G331" s="2" t="s">
        <v>2025</v>
      </c>
      <c r="H331" s="2" t="s">
        <v>2026</v>
      </c>
      <c r="I331" s="2" t="s">
        <v>1517</v>
      </c>
      <c r="J331" s="2" t="s">
        <v>24</v>
      </c>
      <c r="K331" s="2" t="s">
        <v>25</v>
      </c>
      <c r="L331" s="2" t="s">
        <v>2027</v>
      </c>
      <c r="M331" s="2" t="s">
        <v>27</v>
      </c>
      <c r="N331" s="2" t="s">
        <v>2028</v>
      </c>
      <c r="O331" s="2" t="s">
        <v>29</v>
      </c>
      <c r="P331" s="2" t="s">
        <v>2029</v>
      </c>
    </row>
    <row r="332" customFormat="false" ht="57.45" hidden="false" customHeight="false" outlineLevel="0" collapsed="false">
      <c r="A332" s="2" t="s">
        <v>449</v>
      </c>
      <c r="B332" s="2" t="s">
        <v>51</v>
      </c>
      <c r="C332" s="2" t="s">
        <v>2030</v>
      </c>
      <c r="D332" s="2" t="s">
        <v>71</v>
      </c>
      <c r="E332" s="2" t="s">
        <v>34</v>
      </c>
      <c r="F332" s="2" t="s">
        <v>2031</v>
      </c>
      <c r="G332" s="2" t="s">
        <v>2032</v>
      </c>
      <c r="H332" s="2" t="s">
        <v>2033</v>
      </c>
      <c r="I332" s="2" t="s">
        <v>606</v>
      </c>
      <c r="J332" s="2" t="s">
        <v>24</v>
      </c>
      <c r="K332" s="2" t="s">
        <v>25</v>
      </c>
      <c r="L332" s="2" t="s">
        <v>2034</v>
      </c>
      <c r="M332" s="2" t="s">
        <v>41</v>
      </c>
      <c r="N332" s="2" t="s">
        <v>2035</v>
      </c>
      <c r="O332" s="2" t="s">
        <v>29</v>
      </c>
      <c r="P332" s="2" t="s">
        <v>2036</v>
      </c>
    </row>
    <row r="333" customFormat="false" ht="46.25" hidden="false" customHeight="false" outlineLevel="0" collapsed="false">
      <c r="A333" s="2" t="s">
        <v>449</v>
      </c>
      <c r="B333" s="2" t="s">
        <v>51</v>
      </c>
      <c r="C333" s="2" t="s">
        <v>2037</v>
      </c>
      <c r="D333" s="2" t="s">
        <v>71</v>
      </c>
      <c r="E333" s="2" t="s">
        <v>34</v>
      </c>
      <c r="F333" s="2" t="s">
        <v>2038</v>
      </c>
      <c r="G333" s="2" t="s">
        <v>2039</v>
      </c>
      <c r="H333" s="2" t="s">
        <v>2033</v>
      </c>
      <c r="I333" s="2" t="s">
        <v>514</v>
      </c>
      <c r="J333" s="2" t="s">
        <v>24</v>
      </c>
      <c r="K333" s="2" t="s">
        <v>25</v>
      </c>
      <c r="L333" s="2" t="s">
        <v>678</v>
      </c>
      <c r="M333" s="2" t="s">
        <v>41</v>
      </c>
      <c r="N333" s="2" t="s">
        <v>2040</v>
      </c>
      <c r="O333" s="2" t="s">
        <v>29</v>
      </c>
      <c r="P333" s="2" t="s">
        <v>2041</v>
      </c>
    </row>
    <row r="334" customFormat="false" ht="46.25" hidden="false" customHeight="false" outlineLevel="0" collapsed="false">
      <c r="A334" s="2" t="s">
        <v>449</v>
      </c>
      <c r="B334" s="2" t="s">
        <v>17</v>
      </c>
      <c r="C334" s="2" t="s">
        <v>2042</v>
      </c>
      <c r="D334" s="2" t="s">
        <v>19</v>
      </c>
      <c r="E334" s="2" t="s">
        <v>34</v>
      </c>
      <c r="F334" s="2" t="s">
        <v>2043</v>
      </c>
      <c r="G334" s="2" t="s">
        <v>2044</v>
      </c>
      <c r="H334" s="2" t="s">
        <v>2033</v>
      </c>
      <c r="I334" s="2" t="s">
        <v>2045</v>
      </c>
      <c r="J334" s="2" t="s">
        <v>24</v>
      </c>
      <c r="K334" s="2" t="s">
        <v>25</v>
      </c>
      <c r="L334" s="2" t="s">
        <v>2046</v>
      </c>
      <c r="M334" s="2" t="s">
        <v>27</v>
      </c>
      <c r="N334" s="2" t="s">
        <v>2047</v>
      </c>
      <c r="O334" s="2" t="s">
        <v>29</v>
      </c>
      <c r="P334" s="2" t="s">
        <v>2048</v>
      </c>
    </row>
    <row r="335" customFormat="false" ht="46.25" hidden="false" customHeight="false" outlineLevel="0" collapsed="false">
      <c r="A335" s="2" t="s">
        <v>449</v>
      </c>
      <c r="B335" s="2" t="s">
        <v>51</v>
      </c>
      <c r="C335" s="2" t="s">
        <v>2049</v>
      </c>
      <c r="D335" s="2" t="s">
        <v>53</v>
      </c>
      <c r="E335" s="2" t="s">
        <v>34</v>
      </c>
      <c r="F335" s="2" t="s">
        <v>2050</v>
      </c>
      <c r="G335" s="2" t="s">
        <v>2051</v>
      </c>
      <c r="H335" s="2" t="s">
        <v>2052</v>
      </c>
      <c r="I335" s="2" t="s">
        <v>57</v>
      </c>
      <c r="J335" s="2" t="s">
        <v>24</v>
      </c>
      <c r="K335" s="2" t="s">
        <v>25</v>
      </c>
      <c r="L335" s="2" t="s">
        <v>2015</v>
      </c>
      <c r="M335" s="2" t="s">
        <v>41</v>
      </c>
      <c r="N335" s="2" t="s">
        <v>2053</v>
      </c>
      <c r="O335" s="2" t="s">
        <v>29</v>
      </c>
      <c r="P335" s="2" t="s">
        <v>2054</v>
      </c>
    </row>
    <row r="336" customFormat="false" ht="35.05" hidden="false" customHeight="false" outlineLevel="0" collapsed="false">
      <c r="A336" s="4" t="s">
        <v>449</v>
      </c>
      <c r="B336" s="4" t="s">
        <v>51</v>
      </c>
      <c r="C336" s="4" t="s">
        <v>2055</v>
      </c>
      <c r="D336" s="4" t="s">
        <v>53</v>
      </c>
      <c r="E336" s="4" t="s">
        <v>34</v>
      </c>
      <c r="F336" s="4" t="s">
        <v>2056</v>
      </c>
      <c r="G336" s="4" t="s">
        <v>2057</v>
      </c>
      <c r="H336" s="4" t="s">
        <v>1454</v>
      </c>
      <c r="I336" s="4" t="s">
        <v>82</v>
      </c>
      <c r="J336" s="4" t="s">
        <v>24</v>
      </c>
      <c r="K336" s="4" t="s">
        <v>25</v>
      </c>
      <c r="L336" s="4" t="s">
        <v>2058</v>
      </c>
      <c r="M336" s="4" t="s">
        <v>27</v>
      </c>
      <c r="N336" s="4" t="s">
        <v>2059</v>
      </c>
      <c r="O336" s="4" t="s">
        <v>280</v>
      </c>
      <c r="P336" s="4" t="s">
        <v>2060</v>
      </c>
    </row>
    <row r="337" customFormat="false" ht="35.05" hidden="false" customHeight="false" outlineLevel="0" collapsed="false">
      <c r="A337" s="2" t="s">
        <v>449</v>
      </c>
      <c r="B337" s="2" t="s">
        <v>43</v>
      </c>
      <c r="C337" s="2" t="s">
        <v>2061</v>
      </c>
      <c r="D337" s="2" t="s">
        <v>45</v>
      </c>
      <c r="E337" s="2" t="s">
        <v>78</v>
      </c>
      <c r="F337" s="2" t="s">
        <v>2062</v>
      </c>
      <c r="G337" s="2" t="s">
        <v>2063</v>
      </c>
      <c r="H337" s="2" t="s">
        <v>2064</v>
      </c>
      <c r="I337" s="2" t="s">
        <v>2065</v>
      </c>
      <c r="J337" s="2" t="s">
        <v>24</v>
      </c>
      <c r="K337" s="2" t="s">
        <v>383</v>
      </c>
      <c r="L337" s="2" t="s">
        <v>2066</v>
      </c>
      <c r="M337" s="2" t="s">
        <v>41</v>
      </c>
      <c r="N337" s="2" t="s">
        <v>2067</v>
      </c>
      <c r="O337" s="2" t="s">
        <v>29</v>
      </c>
      <c r="P337" s="2" t="s">
        <v>2068</v>
      </c>
    </row>
    <row r="338" customFormat="false" ht="46.25" hidden="false" customHeight="false" outlineLevel="0" collapsed="false">
      <c r="A338" s="2" t="s">
        <v>449</v>
      </c>
      <c r="B338" s="2" t="s">
        <v>198</v>
      </c>
      <c r="C338" s="2" t="s">
        <v>2069</v>
      </c>
      <c r="D338" s="2" t="s">
        <v>200</v>
      </c>
      <c r="E338" s="2" t="s">
        <v>78</v>
      </c>
      <c r="F338" s="2" t="s">
        <v>2070</v>
      </c>
      <c r="G338" s="2" t="s">
        <v>2071</v>
      </c>
      <c r="H338" s="2" t="s">
        <v>1580</v>
      </c>
      <c r="I338" s="2" t="s">
        <v>851</v>
      </c>
      <c r="J338" s="2" t="s">
        <v>24</v>
      </c>
      <c r="K338" s="2" t="s">
        <v>123</v>
      </c>
      <c r="L338" s="2" t="s">
        <v>2072</v>
      </c>
      <c r="M338" s="2" t="s">
        <v>27</v>
      </c>
      <c r="N338" s="2" t="s">
        <v>2073</v>
      </c>
      <c r="O338" s="2" t="s">
        <v>29</v>
      </c>
      <c r="P338" s="2" t="s">
        <v>2074</v>
      </c>
    </row>
    <row r="339" customFormat="false" ht="35.05" hidden="false" customHeight="false" outlineLevel="0" collapsed="false">
      <c r="A339" s="4" t="s">
        <v>449</v>
      </c>
      <c r="B339" s="4" t="s">
        <v>198</v>
      </c>
      <c r="C339" s="4" t="s">
        <v>2075</v>
      </c>
      <c r="D339" s="4" t="s">
        <v>200</v>
      </c>
      <c r="E339" s="4" t="s">
        <v>78</v>
      </c>
      <c r="F339" s="4" t="s">
        <v>2076</v>
      </c>
      <c r="G339" s="4" t="s">
        <v>2077</v>
      </c>
      <c r="H339" s="4" t="s">
        <v>332</v>
      </c>
      <c r="I339" s="4" t="s">
        <v>305</v>
      </c>
      <c r="J339" s="4" t="s">
        <v>24</v>
      </c>
      <c r="K339" s="4" t="s">
        <v>25</v>
      </c>
      <c r="L339" s="4" t="s">
        <v>2078</v>
      </c>
      <c r="M339" s="4" t="s">
        <v>278</v>
      </c>
      <c r="N339" s="4" t="s">
        <v>2079</v>
      </c>
      <c r="O339" s="4" t="s">
        <v>280</v>
      </c>
      <c r="P339" s="4" t="s">
        <v>2080</v>
      </c>
    </row>
    <row r="340" customFormat="false" ht="35.05" hidden="false" customHeight="false" outlineLevel="0" collapsed="false">
      <c r="A340" s="2" t="s">
        <v>449</v>
      </c>
      <c r="B340" s="2" t="s">
        <v>198</v>
      </c>
      <c r="C340" s="2" t="s">
        <v>2081</v>
      </c>
      <c r="D340" s="2" t="s">
        <v>200</v>
      </c>
      <c r="E340" s="2" t="s">
        <v>78</v>
      </c>
      <c r="F340" s="2" t="s">
        <v>2082</v>
      </c>
      <c r="G340" s="2" t="s">
        <v>2083</v>
      </c>
      <c r="H340" s="2" t="s">
        <v>332</v>
      </c>
      <c r="I340" s="2" t="s">
        <v>237</v>
      </c>
      <c r="J340" s="2" t="s">
        <v>24</v>
      </c>
      <c r="K340" s="2" t="s">
        <v>25</v>
      </c>
      <c r="L340" s="2" t="s">
        <v>2034</v>
      </c>
      <c r="M340" s="2" t="s">
        <v>41</v>
      </c>
      <c r="N340" s="2" t="s">
        <v>2084</v>
      </c>
      <c r="O340" s="2" t="s">
        <v>29</v>
      </c>
      <c r="P340" s="2" t="s">
        <v>2085</v>
      </c>
    </row>
    <row r="341" customFormat="false" ht="46.25" hidden="false" customHeight="false" outlineLevel="0" collapsed="false">
      <c r="A341" s="2" t="s">
        <v>449</v>
      </c>
      <c r="B341" s="2" t="s">
        <v>198</v>
      </c>
      <c r="C341" s="2" t="s">
        <v>2086</v>
      </c>
      <c r="D341" s="2" t="s">
        <v>200</v>
      </c>
      <c r="E341" s="2" t="s">
        <v>78</v>
      </c>
      <c r="F341" s="2" t="s">
        <v>2087</v>
      </c>
      <c r="G341" s="2" t="s">
        <v>2088</v>
      </c>
      <c r="H341" s="2" t="s">
        <v>2064</v>
      </c>
      <c r="I341" s="2" t="s">
        <v>146</v>
      </c>
      <c r="J341" s="2" t="s">
        <v>24</v>
      </c>
      <c r="K341" s="2" t="s">
        <v>2089</v>
      </c>
      <c r="L341" s="2" t="s">
        <v>2090</v>
      </c>
      <c r="M341" s="2" t="s">
        <v>100</v>
      </c>
      <c r="N341" s="2" t="s">
        <v>2091</v>
      </c>
      <c r="O341" s="2" t="s">
        <v>29</v>
      </c>
      <c r="P341" s="2" t="s">
        <v>2092</v>
      </c>
    </row>
    <row r="342" customFormat="false" ht="46.25" hidden="false" customHeight="false" outlineLevel="0" collapsed="false">
      <c r="A342" s="2" t="s">
        <v>449</v>
      </c>
      <c r="B342" s="2" t="s">
        <v>198</v>
      </c>
      <c r="C342" s="2" t="s">
        <v>2093</v>
      </c>
      <c r="D342" s="2" t="s">
        <v>200</v>
      </c>
      <c r="E342" s="2" t="s">
        <v>78</v>
      </c>
      <c r="F342" s="2" t="s">
        <v>2094</v>
      </c>
      <c r="G342" s="2" t="s">
        <v>2095</v>
      </c>
      <c r="H342" s="2" t="s">
        <v>1580</v>
      </c>
      <c r="I342" s="2" t="s">
        <v>2096</v>
      </c>
      <c r="J342" s="2" t="s">
        <v>24</v>
      </c>
      <c r="K342" s="2" t="s">
        <v>845</v>
      </c>
      <c r="L342" s="2" t="s">
        <v>287</v>
      </c>
      <c r="M342" s="2" t="s">
        <v>41</v>
      </c>
      <c r="N342" s="2" t="s">
        <v>2097</v>
      </c>
      <c r="O342" s="2" t="s">
        <v>29</v>
      </c>
      <c r="P342" s="2" t="s">
        <v>2098</v>
      </c>
    </row>
    <row r="343" customFormat="false" ht="46.25" hidden="false" customHeight="false" outlineLevel="0" collapsed="false">
      <c r="A343" s="4" t="s">
        <v>449</v>
      </c>
      <c r="B343" s="4" t="s">
        <v>43</v>
      </c>
      <c r="C343" s="4" t="s">
        <v>2099</v>
      </c>
      <c r="D343" s="4" t="s">
        <v>241</v>
      </c>
      <c r="E343" s="4" t="s">
        <v>78</v>
      </c>
      <c r="F343" s="4" t="s">
        <v>2100</v>
      </c>
      <c r="G343" s="4" t="s">
        <v>2101</v>
      </c>
      <c r="H343" s="4" t="s">
        <v>332</v>
      </c>
      <c r="I343" s="4" t="s">
        <v>1203</v>
      </c>
      <c r="J343" s="4" t="s">
        <v>24</v>
      </c>
      <c r="K343" s="4" t="s">
        <v>25</v>
      </c>
      <c r="L343" s="4" t="s">
        <v>2102</v>
      </c>
      <c r="M343" s="4" t="s">
        <v>64</v>
      </c>
      <c r="N343" s="4" t="s">
        <v>2103</v>
      </c>
      <c r="O343" s="4" t="s">
        <v>280</v>
      </c>
      <c r="P343" s="4" t="s">
        <v>2104</v>
      </c>
    </row>
    <row r="344" customFormat="false" ht="35.05" hidden="false" customHeight="false" outlineLevel="0" collapsed="false">
      <c r="A344" s="2" t="s">
        <v>449</v>
      </c>
      <c r="B344" s="2" t="s">
        <v>43</v>
      </c>
      <c r="C344" s="2" t="s">
        <v>2105</v>
      </c>
      <c r="D344" s="2" t="s">
        <v>45</v>
      </c>
      <c r="E344" s="2" t="s">
        <v>78</v>
      </c>
      <c r="F344" s="2" t="s">
        <v>2106</v>
      </c>
      <c r="G344" s="2" t="s">
        <v>2107</v>
      </c>
      <c r="H344" s="2" t="s">
        <v>2108</v>
      </c>
      <c r="I344" s="2" t="s">
        <v>2109</v>
      </c>
      <c r="J344" s="2" t="s">
        <v>24</v>
      </c>
      <c r="K344" s="2" t="s">
        <v>123</v>
      </c>
      <c r="L344" s="2" t="s">
        <v>2110</v>
      </c>
      <c r="M344" s="2" t="s">
        <v>27</v>
      </c>
      <c r="N344" s="2" t="s">
        <v>2111</v>
      </c>
      <c r="O344" s="2" t="s">
        <v>29</v>
      </c>
      <c r="P344" s="2" t="s">
        <v>2112</v>
      </c>
    </row>
    <row r="345" customFormat="false" ht="35.05" hidden="false" customHeight="false" outlineLevel="0" collapsed="false">
      <c r="A345" s="2" t="s">
        <v>449</v>
      </c>
      <c r="B345" s="2" t="s">
        <v>43</v>
      </c>
      <c r="C345" s="2" t="s">
        <v>2113</v>
      </c>
      <c r="D345" s="2" t="s">
        <v>45</v>
      </c>
      <c r="E345" s="2" t="s">
        <v>78</v>
      </c>
      <c r="F345" s="2" t="s">
        <v>2114</v>
      </c>
      <c r="G345" s="2" t="s">
        <v>2115</v>
      </c>
      <c r="H345" s="2" t="s">
        <v>332</v>
      </c>
      <c r="I345" s="2" t="s">
        <v>62</v>
      </c>
      <c r="J345" s="2" t="s">
        <v>24</v>
      </c>
      <c r="K345" s="2" t="s">
        <v>25</v>
      </c>
      <c r="L345" s="2" t="s">
        <v>2116</v>
      </c>
      <c r="M345" s="2" t="s">
        <v>27</v>
      </c>
      <c r="N345" s="2" t="s">
        <v>2117</v>
      </c>
      <c r="O345" s="2" t="s">
        <v>29</v>
      </c>
      <c r="P345" s="2" t="s">
        <v>2118</v>
      </c>
    </row>
    <row r="346" customFormat="false" ht="35.05" hidden="false" customHeight="false" outlineLevel="0" collapsed="false">
      <c r="A346" s="2" t="s">
        <v>449</v>
      </c>
      <c r="B346" s="2" t="s">
        <v>43</v>
      </c>
      <c r="C346" s="2" t="s">
        <v>2119</v>
      </c>
      <c r="D346" s="2" t="s">
        <v>45</v>
      </c>
      <c r="E346" s="2" t="s">
        <v>78</v>
      </c>
      <c r="F346" s="2" t="s">
        <v>2120</v>
      </c>
      <c r="G346" s="2" t="s">
        <v>2121</v>
      </c>
      <c r="H346" s="2" t="s">
        <v>2122</v>
      </c>
      <c r="I346" s="2" t="s">
        <v>305</v>
      </c>
      <c r="J346" s="2" t="s">
        <v>24</v>
      </c>
      <c r="K346" s="2" t="s">
        <v>25</v>
      </c>
      <c r="L346" s="2" t="s">
        <v>1590</v>
      </c>
      <c r="M346" s="2" t="s">
        <v>27</v>
      </c>
      <c r="N346" s="2" t="s">
        <v>2123</v>
      </c>
      <c r="O346" s="2" t="s">
        <v>29</v>
      </c>
      <c r="P346" s="2" t="s">
        <v>2124</v>
      </c>
    </row>
    <row r="347" customFormat="false" ht="46.25" hidden="false" customHeight="false" outlineLevel="0" collapsed="false">
      <c r="A347" s="2" t="s">
        <v>449</v>
      </c>
      <c r="B347" s="2" t="s">
        <v>31</v>
      </c>
      <c r="C347" s="2" t="s">
        <v>2125</v>
      </c>
      <c r="D347" s="2" t="s">
        <v>33</v>
      </c>
      <c r="E347" s="2" t="s">
        <v>78</v>
      </c>
      <c r="F347" s="2" t="s">
        <v>2126</v>
      </c>
      <c r="G347" s="2" t="s">
        <v>2127</v>
      </c>
      <c r="H347" s="2" t="s">
        <v>2128</v>
      </c>
      <c r="I347" s="2" t="s">
        <v>2129</v>
      </c>
      <c r="J347" s="2" t="s">
        <v>24</v>
      </c>
      <c r="K347" s="2" t="s">
        <v>25</v>
      </c>
      <c r="L347" s="2" t="s">
        <v>2130</v>
      </c>
      <c r="M347" s="2" t="s">
        <v>278</v>
      </c>
      <c r="N347" s="2" t="s">
        <v>2131</v>
      </c>
      <c r="O347" s="2" t="s">
        <v>29</v>
      </c>
      <c r="P347" s="2" t="s">
        <v>2132</v>
      </c>
    </row>
    <row r="348" customFormat="false" ht="46.25" hidden="false" customHeight="false" outlineLevel="0" collapsed="false">
      <c r="A348" s="2" t="s">
        <v>449</v>
      </c>
      <c r="B348" s="2" t="s">
        <v>43</v>
      </c>
      <c r="C348" s="2" t="s">
        <v>2133</v>
      </c>
      <c r="D348" s="2" t="s">
        <v>45</v>
      </c>
      <c r="E348" s="2" t="s">
        <v>78</v>
      </c>
      <c r="F348" s="2" t="s">
        <v>2134</v>
      </c>
      <c r="G348" s="2" t="s">
        <v>2135</v>
      </c>
      <c r="H348" s="2" t="s">
        <v>2136</v>
      </c>
      <c r="I348" s="2" t="s">
        <v>2137</v>
      </c>
      <c r="J348" s="2" t="s">
        <v>24</v>
      </c>
      <c r="K348" s="2" t="s">
        <v>25</v>
      </c>
      <c r="L348" s="2" t="s">
        <v>678</v>
      </c>
      <c r="M348" s="2" t="s">
        <v>41</v>
      </c>
      <c r="N348" s="2" t="s">
        <v>2138</v>
      </c>
      <c r="O348" s="2" t="s">
        <v>29</v>
      </c>
      <c r="P348" s="2" t="s">
        <v>2139</v>
      </c>
    </row>
    <row r="349" customFormat="false" ht="35.05" hidden="false" customHeight="false" outlineLevel="0" collapsed="false">
      <c r="A349" s="4" t="s">
        <v>449</v>
      </c>
      <c r="B349" s="4" t="s">
        <v>43</v>
      </c>
      <c r="C349" s="4" t="s">
        <v>2140</v>
      </c>
      <c r="D349" s="4" t="s">
        <v>45</v>
      </c>
      <c r="E349" s="4" t="s">
        <v>34</v>
      </c>
      <c r="F349" s="4" t="s">
        <v>2141</v>
      </c>
      <c r="G349" s="4" t="s">
        <v>2142</v>
      </c>
      <c r="H349" s="4" t="s">
        <v>2143</v>
      </c>
      <c r="I349" s="4" t="s">
        <v>82</v>
      </c>
      <c r="J349" s="4" t="s">
        <v>24</v>
      </c>
      <c r="K349" s="4" t="s">
        <v>25</v>
      </c>
      <c r="L349" s="4" t="s">
        <v>2144</v>
      </c>
      <c r="M349" s="4" t="s">
        <v>27</v>
      </c>
      <c r="N349" s="4" t="s">
        <v>2145</v>
      </c>
      <c r="O349" s="4" t="s">
        <v>280</v>
      </c>
      <c r="P349" s="4" t="s">
        <v>2146</v>
      </c>
    </row>
    <row r="350" customFormat="false" ht="46.25" hidden="false" customHeight="false" outlineLevel="0" collapsed="false">
      <c r="A350" s="2" t="s">
        <v>449</v>
      </c>
      <c r="B350" s="2" t="s">
        <v>43</v>
      </c>
      <c r="C350" s="2" t="s">
        <v>2147</v>
      </c>
      <c r="D350" s="2" t="s">
        <v>45</v>
      </c>
      <c r="E350" s="2" t="s">
        <v>34</v>
      </c>
      <c r="F350" s="2" t="s">
        <v>2148</v>
      </c>
      <c r="G350" s="2" t="s">
        <v>2149</v>
      </c>
      <c r="H350" s="2" t="s">
        <v>2150</v>
      </c>
      <c r="I350" s="2" t="s">
        <v>1022</v>
      </c>
      <c r="J350" s="2" t="s">
        <v>24</v>
      </c>
      <c r="K350" s="2" t="s">
        <v>25</v>
      </c>
      <c r="L350" s="2" t="s">
        <v>678</v>
      </c>
      <c r="M350" s="2" t="s">
        <v>41</v>
      </c>
      <c r="N350" s="2" t="s">
        <v>2151</v>
      </c>
      <c r="O350" s="2" t="s">
        <v>29</v>
      </c>
      <c r="P350" s="2" t="s">
        <v>2152</v>
      </c>
    </row>
    <row r="351" customFormat="false" ht="46.25" hidden="false" customHeight="false" outlineLevel="0" collapsed="false">
      <c r="A351" s="2" t="s">
        <v>16</v>
      </c>
      <c r="B351" s="2" t="s">
        <v>43</v>
      </c>
      <c r="C351" s="2" t="s">
        <v>2153</v>
      </c>
      <c r="D351" s="2" t="s">
        <v>45</v>
      </c>
      <c r="E351" s="2" t="s">
        <v>34</v>
      </c>
      <c r="F351" s="2" t="s">
        <v>2154</v>
      </c>
      <c r="G351" s="2" t="s">
        <v>2155</v>
      </c>
      <c r="H351" s="2" t="s">
        <v>1941</v>
      </c>
      <c r="I351" s="2" t="s">
        <v>2156</v>
      </c>
      <c r="J351" s="2" t="s">
        <v>24</v>
      </c>
      <c r="K351" s="2" t="s">
        <v>25</v>
      </c>
      <c r="L351" s="2" t="s">
        <v>2157</v>
      </c>
      <c r="M351" s="2" t="s">
        <v>100</v>
      </c>
      <c r="N351" s="2" t="s">
        <v>2158</v>
      </c>
      <c r="O351" s="2" t="s">
        <v>29</v>
      </c>
      <c r="P351" s="2" t="s">
        <v>2159</v>
      </c>
    </row>
    <row r="352" customFormat="false" ht="46.25" hidden="false" customHeight="false" outlineLevel="0" collapsed="false">
      <c r="A352" s="2" t="s">
        <v>16</v>
      </c>
      <c r="B352" s="2" t="s">
        <v>43</v>
      </c>
      <c r="C352" s="2" t="s">
        <v>2160</v>
      </c>
      <c r="D352" s="2" t="s">
        <v>45</v>
      </c>
      <c r="E352" s="2" t="s">
        <v>34</v>
      </c>
      <c r="F352" s="2" t="s">
        <v>2161</v>
      </c>
      <c r="G352" s="2" t="s">
        <v>2162</v>
      </c>
      <c r="H352" s="2" t="s">
        <v>1941</v>
      </c>
      <c r="I352" s="2" t="s">
        <v>2163</v>
      </c>
      <c r="J352" s="2" t="s">
        <v>24</v>
      </c>
      <c r="K352" s="2" t="s">
        <v>25</v>
      </c>
      <c r="L352" s="2" t="s">
        <v>2164</v>
      </c>
      <c r="M352" s="2" t="s">
        <v>100</v>
      </c>
      <c r="N352" s="2" t="s">
        <v>2165</v>
      </c>
      <c r="O352" s="2" t="s">
        <v>29</v>
      </c>
      <c r="P352" s="2" t="s">
        <v>2166</v>
      </c>
    </row>
    <row r="353" customFormat="false" ht="46.25" hidden="false" customHeight="false" outlineLevel="0" collapsed="false">
      <c r="A353" s="2" t="s">
        <v>16</v>
      </c>
      <c r="B353" s="2" t="s">
        <v>51</v>
      </c>
      <c r="C353" s="2" t="s">
        <v>1925</v>
      </c>
      <c r="D353" s="2" t="s">
        <v>53</v>
      </c>
      <c r="E353" s="2" t="s">
        <v>34</v>
      </c>
      <c r="F353" s="2" t="s">
        <v>2167</v>
      </c>
      <c r="G353" s="2" t="s">
        <v>2168</v>
      </c>
      <c r="H353" s="2" t="s">
        <v>2169</v>
      </c>
      <c r="I353" s="2" t="s">
        <v>1929</v>
      </c>
      <c r="J353" s="2" t="s">
        <v>24</v>
      </c>
      <c r="K353" s="2" t="s">
        <v>25</v>
      </c>
      <c r="L353" s="2" t="s">
        <v>2170</v>
      </c>
      <c r="M353" s="2" t="s">
        <v>27</v>
      </c>
      <c r="N353" s="2" t="s">
        <v>2171</v>
      </c>
      <c r="O353" s="2" t="s">
        <v>29</v>
      </c>
      <c r="P353" s="2" t="s">
        <v>2172</v>
      </c>
    </row>
    <row r="354" customFormat="false" ht="46.25" hidden="false" customHeight="false" outlineLevel="0" collapsed="false">
      <c r="A354" s="2" t="s">
        <v>16</v>
      </c>
      <c r="B354" s="2" t="s">
        <v>51</v>
      </c>
      <c r="C354" s="2" t="s">
        <v>2173</v>
      </c>
      <c r="D354" s="2" t="s">
        <v>53</v>
      </c>
      <c r="E354" s="2" t="s">
        <v>34</v>
      </c>
      <c r="F354" s="2" t="s">
        <v>2174</v>
      </c>
      <c r="G354" s="2" t="s">
        <v>2175</v>
      </c>
      <c r="H354" s="2" t="s">
        <v>2176</v>
      </c>
      <c r="I354" s="2" t="s">
        <v>851</v>
      </c>
      <c r="J354" s="2" t="s">
        <v>24</v>
      </c>
      <c r="K354" s="2" t="s">
        <v>25</v>
      </c>
      <c r="L354" s="2" t="s">
        <v>2177</v>
      </c>
      <c r="M354" s="2" t="s">
        <v>27</v>
      </c>
      <c r="N354" s="2" t="s">
        <v>2178</v>
      </c>
      <c r="O354" s="2" t="s">
        <v>29</v>
      </c>
      <c r="P354" s="2" t="s">
        <v>2179</v>
      </c>
    </row>
    <row r="355" customFormat="false" ht="46.25" hidden="false" customHeight="false" outlineLevel="0" collapsed="false">
      <c r="A355" s="2" t="s">
        <v>16</v>
      </c>
      <c r="B355" s="2" t="s">
        <v>51</v>
      </c>
      <c r="C355" s="2" t="s">
        <v>2180</v>
      </c>
      <c r="D355" s="2" t="s">
        <v>53</v>
      </c>
      <c r="E355" s="2" t="s">
        <v>34</v>
      </c>
      <c r="F355" s="2" t="s">
        <v>2181</v>
      </c>
      <c r="G355" s="2" t="s">
        <v>2182</v>
      </c>
      <c r="H355" s="2" t="s">
        <v>2183</v>
      </c>
      <c r="I355" s="2" t="s">
        <v>2184</v>
      </c>
      <c r="J355" s="2" t="s">
        <v>24</v>
      </c>
      <c r="K355" s="2" t="s">
        <v>25</v>
      </c>
      <c r="L355" s="2" t="s">
        <v>2185</v>
      </c>
      <c r="M355" s="2" t="s">
        <v>27</v>
      </c>
      <c r="N355" s="2" t="s">
        <v>2186</v>
      </c>
      <c r="O355" s="2" t="s">
        <v>29</v>
      </c>
      <c r="P355" s="2" t="s">
        <v>2187</v>
      </c>
    </row>
    <row r="356" customFormat="false" ht="46.25" hidden="false" customHeight="false" outlineLevel="0" collapsed="false">
      <c r="A356" s="2" t="s">
        <v>16</v>
      </c>
      <c r="B356" s="2" t="s">
        <v>118</v>
      </c>
      <c r="C356" s="2" t="s">
        <v>2188</v>
      </c>
      <c r="D356" s="2" t="s">
        <v>120</v>
      </c>
      <c r="E356" s="2" t="s">
        <v>34</v>
      </c>
      <c r="F356" s="2" t="s">
        <v>2189</v>
      </c>
      <c r="G356" s="2" t="s">
        <v>2190</v>
      </c>
      <c r="H356" s="2" t="s">
        <v>2169</v>
      </c>
      <c r="I356" s="2" t="s">
        <v>82</v>
      </c>
      <c r="J356" s="2" t="s">
        <v>24</v>
      </c>
      <c r="K356" s="2" t="s">
        <v>25</v>
      </c>
      <c r="L356" s="2" t="s">
        <v>2191</v>
      </c>
      <c r="M356" s="2" t="s">
        <v>27</v>
      </c>
      <c r="N356" s="2" t="s">
        <v>2192</v>
      </c>
      <c r="O356" s="2" t="s">
        <v>29</v>
      </c>
      <c r="P356" s="2" t="s">
        <v>2193</v>
      </c>
    </row>
    <row r="357" customFormat="false" ht="46.25" hidden="false" customHeight="false" outlineLevel="0" collapsed="false">
      <c r="A357" s="4" t="s">
        <v>16</v>
      </c>
      <c r="B357" s="4" t="s">
        <v>51</v>
      </c>
      <c r="C357" s="4" t="s">
        <v>2194</v>
      </c>
      <c r="D357" s="4" t="s">
        <v>53</v>
      </c>
      <c r="E357" s="4" t="s">
        <v>34</v>
      </c>
      <c r="F357" s="4" t="s">
        <v>2195</v>
      </c>
      <c r="G357" s="4" t="s">
        <v>2196</v>
      </c>
      <c r="H357" s="4" t="s">
        <v>2197</v>
      </c>
      <c r="I357" s="4" t="s">
        <v>344</v>
      </c>
      <c r="J357" s="4" t="s">
        <v>24</v>
      </c>
      <c r="K357" s="4" t="s">
        <v>25</v>
      </c>
      <c r="L357" s="4" t="s">
        <v>2198</v>
      </c>
      <c r="M357" s="4" t="s">
        <v>27</v>
      </c>
      <c r="N357" s="4" t="s">
        <v>2199</v>
      </c>
      <c r="O357" s="4" t="s">
        <v>280</v>
      </c>
      <c r="P357" s="4" t="s">
        <v>2200</v>
      </c>
    </row>
    <row r="358" customFormat="false" ht="46.25" hidden="false" customHeight="false" outlineLevel="0" collapsed="false">
      <c r="A358" s="2" t="s">
        <v>16</v>
      </c>
      <c r="B358" s="2" t="s">
        <v>51</v>
      </c>
      <c r="C358" s="2" t="s">
        <v>2194</v>
      </c>
      <c r="D358" s="2" t="s">
        <v>53</v>
      </c>
      <c r="E358" s="2" t="s">
        <v>34</v>
      </c>
      <c r="F358" s="2" t="s">
        <v>2201</v>
      </c>
      <c r="G358" s="2" t="s">
        <v>2202</v>
      </c>
      <c r="H358" s="2" t="s">
        <v>2203</v>
      </c>
      <c r="I358" s="2" t="s">
        <v>82</v>
      </c>
      <c r="J358" s="2" t="s">
        <v>24</v>
      </c>
      <c r="K358" s="2" t="s">
        <v>25</v>
      </c>
      <c r="L358" s="2" t="s">
        <v>2204</v>
      </c>
      <c r="M358" s="2" t="s">
        <v>27</v>
      </c>
      <c r="N358" s="2" t="s">
        <v>2205</v>
      </c>
      <c r="O358" s="2" t="s">
        <v>29</v>
      </c>
      <c r="P358" s="2" t="s">
        <v>2206</v>
      </c>
    </row>
    <row r="359" customFormat="false" ht="46.25" hidden="false" customHeight="false" outlineLevel="0" collapsed="false">
      <c r="A359" s="2" t="s">
        <v>16</v>
      </c>
      <c r="B359" s="2" t="s">
        <v>51</v>
      </c>
      <c r="C359" s="2" t="s">
        <v>2207</v>
      </c>
      <c r="D359" s="2" t="s">
        <v>71</v>
      </c>
      <c r="E359" s="2" t="s">
        <v>34</v>
      </c>
      <c r="F359" s="2" t="s">
        <v>2208</v>
      </c>
      <c r="G359" s="2" t="s">
        <v>2209</v>
      </c>
      <c r="H359" s="2" t="s">
        <v>2210</v>
      </c>
      <c r="I359" s="2" t="s">
        <v>2211</v>
      </c>
      <c r="J359" s="2" t="s">
        <v>24</v>
      </c>
      <c r="K359" s="2" t="s">
        <v>25</v>
      </c>
      <c r="L359" s="2" t="s">
        <v>2212</v>
      </c>
      <c r="M359" s="2" t="s">
        <v>100</v>
      </c>
      <c r="N359" s="2" t="s">
        <v>2213</v>
      </c>
      <c r="O359" s="2" t="s">
        <v>29</v>
      </c>
      <c r="P359" s="2" t="s">
        <v>2214</v>
      </c>
    </row>
    <row r="360" customFormat="false" ht="46.25" hidden="false" customHeight="false" outlineLevel="0" collapsed="false">
      <c r="A360" s="2" t="s">
        <v>16</v>
      </c>
      <c r="B360" s="2" t="s">
        <v>51</v>
      </c>
      <c r="C360" s="2" t="s">
        <v>2215</v>
      </c>
      <c r="D360" s="2" t="s">
        <v>71</v>
      </c>
      <c r="E360" s="2" t="s">
        <v>34</v>
      </c>
      <c r="F360" s="2" t="s">
        <v>2216</v>
      </c>
      <c r="G360" s="2" t="s">
        <v>2217</v>
      </c>
      <c r="H360" s="2" t="s">
        <v>2218</v>
      </c>
      <c r="I360" s="2" t="s">
        <v>2219</v>
      </c>
      <c r="J360" s="2" t="s">
        <v>24</v>
      </c>
      <c r="K360" s="2" t="s">
        <v>25</v>
      </c>
      <c r="L360" s="2" t="s">
        <v>2220</v>
      </c>
      <c r="M360" s="2" t="s">
        <v>27</v>
      </c>
      <c r="N360" s="2" t="s">
        <v>2221</v>
      </c>
      <c r="O360" s="2" t="s">
        <v>29</v>
      </c>
      <c r="P360" s="2" t="s">
        <v>2222</v>
      </c>
    </row>
    <row r="361" customFormat="false" ht="35.05" hidden="false" customHeight="false" outlineLevel="0" collapsed="false">
      <c r="A361" s="2" t="s">
        <v>16</v>
      </c>
      <c r="B361" s="2" t="s">
        <v>51</v>
      </c>
      <c r="C361" s="2" t="s">
        <v>2223</v>
      </c>
      <c r="D361" s="2" t="s">
        <v>71</v>
      </c>
      <c r="E361" s="2" t="s">
        <v>34</v>
      </c>
      <c r="F361" s="2" t="s">
        <v>2224</v>
      </c>
      <c r="G361" s="2" t="s">
        <v>2225</v>
      </c>
      <c r="H361" s="2" t="s">
        <v>292</v>
      </c>
      <c r="I361" s="2" t="s">
        <v>82</v>
      </c>
      <c r="J361" s="2" t="s">
        <v>24</v>
      </c>
      <c r="K361" s="2" t="s">
        <v>25</v>
      </c>
      <c r="L361" s="2" t="s">
        <v>2226</v>
      </c>
      <c r="M361" s="2" t="s">
        <v>27</v>
      </c>
      <c r="N361" s="2" t="s">
        <v>2227</v>
      </c>
      <c r="O361" s="2" t="s">
        <v>29</v>
      </c>
      <c r="P361" s="2" t="s">
        <v>2228</v>
      </c>
    </row>
    <row r="362" customFormat="false" ht="46.25" hidden="false" customHeight="false" outlineLevel="0" collapsed="false">
      <c r="A362" s="2" t="s">
        <v>16</v>
      </c>
      <c r="B362" s="2" t="s">
        <v>51</v>
      </c>
      <c r="C362" s="2" t="s">
        <v>2229</v>
      </c>
      <c r="D362" s="2" t="s">
        <v>71</v>
      </c>
      <c r="E362" s="2" t="s">
        <v>34</v>
      </c>
      <c r="F362" s="2" t="s">
        <v>2230</v>
      </c>
      <c r="G362" s="2" t="s">
        <v>2231</v>
      </c>
      <c r="H362" s="2" t="s">
        <v>292</v>
      </c>
      <c r="I362" s="2" t="s">
        <v>106</v>
      </c>
      <c r="J362" s="2" t="s">
        <v>24</v>
      </c>
      <c r="K362" s="2" t="s">
        <v>25</v>
      </c>
      <c r="L362" s="2" t="s">
        <v>2232</v>
      </c>
      <c r="M362" s="2" t="s">
        <v>27</v>
      </c>
      <c r="N362" s="2" t="s">
        <v>2233</v>
      </c>
      <c r="O362" s="2" t="s">
        <v>29</v>
      </c>
      <c r="P362" s="2" t="s">
        <v>2234</v>
      </c>
    </row>
    <row r="363" customFormat="false" ht="46.25" hidden="false" customHeight="false" outlineLevel="0" collapsed="false">
      <c r="A363" s="2" t="s">
        <v>16</v>
      </c>
      <c r="B363" s="2" t="s">
        <v>51</v>
      </c>
      <c r="C363" s="2" t="s">
        <v>2235</v>
      </c>
      <c r="D363" s="2" t="s">
        <v>71</v>
      </c>
      <c r="E363" s="2" t="s">
        <v>34</v>
      </c>
      <c r="F363" s="2" t="s">
        <v>2236</v>
      </c>
      <c r="G363" s="2" t="s">
        <v>2237</v>
      </c>
      <c r="H363" s="2" t="s">
        <v>2238</v>
      </c>
      <c r="I363" s="2" t="s">
        <v>2239</v>
      </c>
      <c r="J363" s="2" t="s">
        <v>24</v>
      </c>
      <c r="K363" s="2" t="s">
        <v>25</v>
      </c>
      <c r="L363" s="2" t="s">
        <v>2240</v>
      </c>
      <c r="M363" s="2" t="s">
        <v>27</v>
      </c>
      <c r="N363" s="2" t="s">
        <v>2241</v>
      </c>
      <c r="O363" s="2" t="s">
        <v>29</v>
      </c>
      <c r="P363" s="2" t="s">
        <v>2242</v>
      </c>
    </row>
    <row r="364" customFormat="false" ht="46.25" hidden="false" customHeight="false" outlineLevel="0" collapsed="false">
      <c r="A364" s="2" t="s">
        <v>16</v>
      </c>
      <c r="B364" s="2" t="s">
        <v>51</v>
      </c>
      <c r="C364" s="2" t="s">
        <v>2243</v>
      </c>
      <c r="D364" s="2" t="s">
        <v>71</v>
      </c>
      <c r="E364" s="2" t="s">
        <v>34</v>
      </c>
      <c r="F364" s="2" t="s">
        <v>2244</v>
      </c>
      <c r="G364" s="2" t="s">
        <v>2245</v>
      </c>
      <c r="H364" s="2" t="s">
        <v>37</v>
      </c>
      <c r="I364" s="2" t="s">
        <v>719</v>
      </c>
      <c r="J364" s="2" t="s">
        <v>24</v>
      </c>
      <c r="K364" s="2" t="s">
        <v>25</v>
      </c>
      <c r="L364" s="2" t="s">
        <v>2246</v>
      </c>
      <c r="M364" s="2" t="s">
        <v>41</v>
      </c>
      <c r="N364" s="2" t="s">
        <v>2247</v>
      </c>
      <c r="O364" s="2" t="s">
        <v>29</v>
      </c>
      <c r="P364" s="2" t="s">
        <v>2248</v>
      </c>
    </row>
    <row r="365" customFormat="false" ht="35.05" hidden="false" customHeight="false" outlineLevel="0" collapsed="false">
      <c r="A365" s="2" t="s">
        <v>16</v>
      </c>
      <c r="B365" s="2" t="s">
        <v>51</v>
      </c>
      <c r="C365" s="2" t="s">
        <v>2249</v>
      </c>
      <c r="D365" s="2" t="s">
        <v>33</v>
      </c>
      <c r="E365" s="2" t="s">
        <v>112</v>
      </c>
      <c r="F365" s="2" t="s">
        <v>2250</v>
      </c>
      <c r="G365" s="2" t="s">
        <v>2251</v>
      </c>
      <c r="H365" s="2" t="s">
        <v>314</v>
      </c>
      <c r="I365" s="2" t="s">
        <v>377</v>
      </c>
      <c r="J365" s="2" t="s">
        <v>24</v>
      </c>
      <c r="K365" s="2" t="s">
        <v>25</v>
      </c>
      <c r="L365" s="2" t="s">
        <v>2252</v>
      </c>
      <c r="M365" s="2" t="s">
        <v>64</v>
      </c>
      <c r="N365" s="2" t="s">
        <v>2253</v>
      </c>
      <c r="O365" s="2" t="s">
        <v>29</v>
      </c>
      <c r="P365" s="2" t="s">
        <v>2254</v>
      </c>
    </row>
    <row r="366" customFormat="false" ht="46.25" hidden="false" customHeight="false" outlineLevel="0" collapsed="false">
      <c r="A366" s="2" t="s">
        <v>16</v>
      </c>
      <c r="B366" s="2" t="s">
        <v>51</v>
      </c>
      <c r="C366" s="2" t="s">
        <v>2255</v>
      </c>
      <c r="D366" s="2" t="s">
        <v>33</v>
      </c>
      <c r="E366" s="2" t="s">
        <v>34</v>
      </c>
      <c r="F366" s="2" t="s">
        <v>2256</v>
      </c>
      <c r="G366" s="2" t="s">
        <v>2257</v>
      </c>
      <c r="H366" s="2" t="s">
        <v>37</v>
      </c>
      <c r="I366" s="2" t="s">
        <v>775</v>
      </c>
      <c r="J366" s="2" t="s">
        <v>24</v>
      </c>
      <c r="K366" s="2" t="s">
        <v>2258</v>
      </c>
      <c r="L366" s="2" t="s">
        <v>2259</v>
      </c>
      <c r="M366" s="2" t="s">
        <v>41</v>
      </c>
      <c r="N366" s="2" t="s">
        <v>2260</v>
      </c>
      <c r="O366" s="2" t="s">
        <v>29</v>
      </c>
      <c r="P366" s="2" t="s">
        <v>1807</v>
      </c>
    </row>
    <row r="367" customFormat="false" ht="46.25" hidden="false" customHeight="false" outlineLevel="0" collapsed="false">
      <c r="A367" s="2" t="s">
        <v>16</v>
      </c>
      <c r="B367" s="2" t="s">
        <v>43</v>
      </c>
      <c r="C367" s="2" t="s">
        <v>2261</v>
      </c>
      <c r="D367" s="2" t="s">
        <v>45</v>
      </c>
      <c r="E367" s="2" t="s">
        <v>34</v>
      </c>
      <c r="F367" s="2" t="s">
        <v>2262</v>
      </c>
      <c r="G367" s="2" t="s">
        <v>2263</v>
      </c>
      <c r="H367" s="2" t="s">
        <v>37</v>
      </c>
      <c r="I367" s="2" t="s">
        <v>2264</v>
      </c>
      <c r="J367" s="2" t="s">
        <v>24</v>
      </c>
      <c r="K367" s="2" t="s">
        <v>25</v>
      </c>
      <c r="L367" s="2" t="s">
        <v>565</v>
      </c>
      <c r="M367" s="2" t="s">
        <v>41</v>
      </c>
      <c r="N367" s="2" t="s">
        <v>2265</v>
      </c>
      <c r="O367" s="2" t="s">
        <v>29</v>
      </c>
      <c r="P367" s="2" t="s">
        <v>2266</v>
      </c>
    </row>
    <row r="368" customFormat="false" ht="46.25" hidden="false" customHeight="false" outlineLevel="0" collapsed="false">
      <c r="A368" s="2" t="s">
        <v>16</v>
      </c>
      <c r="B368" s="2" t="s">
        <v>43</v>
      </c>
      <c r="C368" s="2" t="s">
        <v>2267</v>
      </c>
      <c r="D368" s="2" t="s">
        <v>45</v>
      </c>
      <c r="E368" s="2" t="s">
        <v>34</v>
      </c>
      <c r="F368" s="2" t="s">
        <v>2268</v>
      </c>
      <c r="G368" s="2" t="s">
        <v>2269</v>
      </c>
      <c r="H368" s="2" t="s">
        <v>37</v>
      </c>
      <c r="I368" s="2" t="s">
        <v>719</v>
      </c>
      <c r="J368" s="2" t="s">
        <v>24</v>
      </c>
      <c r="K368" s="2" t="s">
        <v>25</v>
      </c>
      <c r="L368" s="2" t="s">
        <v>2259</v>
      </c>
      <c r="M368" s="2" t="s">
        <v>41</v>
      </c>
      <c r="N368" s="2" t="s">
        <v>2270</v>
      </c>
      <c r="O368" s="2" t="s">
        <v>29</v>
      </c>
      <c r="P368" s="2" t="s">
        <v>2271</v>
      </c>
    </row>
    <row r="369" customFormat="false" ht="46.25" hidden="false" customHeight="false" outlineLevel="0" collapsed="false">
      <c r="A369" s="2" t="s">
        <v>16</v>
      </c>
      <c r="B369" s="2" t="s">
        <v>43</v>
      </c>
      <c r="C369" s="2" t="s">
        <v>2272</v>
      </c>
      <c r="D369" s="2" t="s">
        <v>45</v>
      </c>
      <c r="E369" s="2" t="s">
        <v>34</v>
      </c>
      <c r="F369" s="2" t="s">
        <v>2273</v>
      </c>
      <c r="G369" s="2" t="s">
        <v>2274</v>
      </c>
      <c r="H369" s="2" t="s">
        <v>2275</v>
      </c>
      <c r="I369" s="2" t="s">
        <v>2276</v>
      </c>
      <c r="J369" s="2" t="s">
        <v>24</v>
      </c>
      <c r="K369" s="2" t="s">
        <v>25</v>
      </c>
      <c r="L369" s="2" t="s">
        <v>2277</v>
      </c>
      <c r="M369" s="2" t="s">
        <v>27</v>
      </c>
      <c r="N369" s="2" t="s">
        <v>2278</v>
      </c>
      <c r="O369" s="2" t="s">
        <v>29</v>
      </c>
      <c r="P369" s="2" t="s">
        <v>2279</v>
      </c>
    </row>
    <row r="370" customFormat="false" ht="46.25" hidden="false" customHeight="false" outlineLevel="0" collapsed="false">
      <c r="A370" s="2" t="s">
        <v>16</v>
      </c>
      <c r="B370" s="2" t="s">
        <v>43</v>
      </c>
      <c r="C370" s="2" t="s">
        <v>2280</v>
      </c>
      <c r="D370" s="2" t="s">
        <v>45</v>
      </c>
      <c r="E370" s="2" t="s">
        <v>78</v>
      </c>
      <c r="F370" s="2" t="s">
        <v>2281</v>
      </c>
      <c r="G370" s="2" t="s">
        <v>2282</v>
      </c>
      <c r="H370" s="2" t="s">
        <v>37</v>
      </c>
      <c r="I370" s="2" t="s">
        <v>2276</v>
      </c>
      <c r="J370" s="2" t="s">
        <v>24</v>
      </c>
      <c r="K370" s="2" t="s">
        <v>123</v>
      </c>
      <c r="L370" s="2" t="s">
        <v>2283</v>
      </c>
      <c r="M370" s="2" t="s">
        <v>41</v>
      </c>
      <c r="N370" s="2" t="s">
        <v>2284</v>
      </c>
      <c r="O370" s="2" t="s">
        <v>29</v>
      </c>
      <c r="P370" s="2" t="s">
        <v>2285</v>
      </c>
    </row>
    <row r="371" customFormat="false" ht="46.25" hidden="false" customHeight="false" outlineLevel="0" collapsed="false">
      <c r="A371" s="2" t="s">
        <v>16</v>
      </c>
      <c r="B371" s="2" t="s">
        <v>43</v>
      </c>
      <c r="C371" s="2" t="s">
        <v>2286</v>
      </c>
      <c r="D371" s="2" t="s">
        <v>45</v>
      </c>
      <c r="E371" s="2" t="s">
        <v>78</v>
      </c>
      <c r="F371" s="2" t="s">
        <v>2287</v>
      </c>
      <c r="G371" s="2" t="s">
        <v>2288</v>
      </c>
      <c r="H371" s="2" t="s">
        <v>37</v>
      </c>
      <c r="I371" s="2" t="s">
        <v>1273</v>
      </c>
      <c r="J371" s="2" t="s">
        <v>24</v>
      </c>
      <c r="K371" s="2" t="s">
        <v>123</v>
      </c>
      <c r="L371" s="2" t="s">
        <v>2289</v>
      </c>
      <c r="M371" s="2" t="s">
        <v>41</v>
      </c>
      <c r="N371" s="2" t="s">
        <v>2290</v>
      </c>
      <c r="O371" s="2" t="s">
        <v>29</v>
      </c>
      <c r="P371" s="2" t="s">
        <v>2291</v>
      </c>
    </row>
    <row r="372" customFormat="false" ht="35.05" hidden="false" customHeight="false" outlineLevel="0" collapsed="false">
      <c r="A372" s="2" t="s">
        <v>16</v>
      </c>
      <c r="B372" s="2" t="s">
        <v>43</v>
      </c>
      <c r="C372" s="2" t="s">
        <v>2292</v>
      </c>
      <c r="D372" s="2" t="s">
        <v>45</v>
      </c>
      <c r="E372" s="2" t="s">
        <v>78</v>
      </c>
      <c r="F372" s="2" t="s">
        <v>2293</v>
      </c>
      <c r="G372" s="2" t="s">
        <v>2294</v>
      </c>
      <c r="H372" s="2" t="s">
        <v>37</v>
      </c>
      <c r="I372" s="2" t="s">
        <v>163</v>
      </c>
      <c r="J372" s="2" t="s">
        <v>24</v>
      </c>
      <c r="K372" s="2" t="s">
        <v>25</v>
      </c>
      <c r="L372" s="2" t="s">
        <v>2295</v>
      </c>
      <c r="M372" s="2" t="s">
        <v>41</v>
      </c>
      <c r="N372" s="2" t="s">
        <v>2296</v>
      </c>
      <c r="O372" s="2" t="s">
        <v>29</v>
      </c>
      <c r="P372" s="2" t="s">
        <v>2297</v>
      </c>
    </row>
    <row r="373" customFormat="false" ht="46.25" hidden="false" customHeight="false" outlineLevel="0" collapsed="false">
      <c r="A373" s="2" t="s">
        <v>16</v>
      </c>
      <c r="B373" s="2" t="s">
        <v>51</v>
      </c>
      <c r="C373" s="2" t="s">
        <v>2298</v>
      </c>
      <c r="D373" s="2" t="s">
        <v>53</v>
      </c>
      <c r="E373" s="2" t="s">
        <v>78</v>
      </c>
      <c r="F373" s="2" t="s">
        <v>2299</v>
      </c>
      <c r="G373" s="2" t="s">
        <v>2300</v>
      </c>
      <c r="H373" s="2" t="s">
        <v>37</v>
      </c>
      <c r="I373" s="2" t="s">
        <v>648</v>
      </c>
      <c r="J373" s="2" t="s">
        <v>24</v>
      </c>
      <c r="K373" s="2" t="s">
        <v>123</v>
      </c>
      <c r="L373" s="2" t="s">
        <v>2259</v>
      </c>
      <c r="M373" s="2" t="s">
        <v>41</v>
      </c>
      <c r="N373" s="2" t="s">
        <v>2301</v>
      </c>
      <c r="O373" s="2" t="s">
        <v>29</v>
      </c>
      <c r="P373" s="2" t="s">
        <v>2302</v>
      </c>
    </row>
    <row r="374" customFormat="false" ht="46.25" hidden="false" customHeight="false" outlineLevel="0" collapsed="false">
      <c r="A374" s="2" t="s">
        <v>16</v>
      </c>
      <c r="B374" s="2" t="s">
        <v>51</v>
      </c>
      <c r="C374" s="2" t="s">
        <v>2303</v>
      </c>
      <c r="D374" s="2" t="s">
        <v>53</v>
      </c>
      <c r="E374" s="2" t="s">
        <v>34</v>
      </c>
      <c r="F374" s="2" t="s">
        <v>2304</v>
      </c>
      <c r="G374" s="2" t="s">
        <v>2305</v>
      </c>
      <c r="H374" s="2" t="s">
        <v>37</v>
      </c>
      <c r="I374" s="2" t="s">
        <v>667</v>
      </c>
      <c r="J374" s="2" t="s">
        <v>24</v>
      </c>
      <c r="K374" s="2" t="s">
        <v>25</v>
      </c>
      <c r="L374" s="2" t="s">
        <v>2306</v>
      </c>
      <c r="M374" s="2" t="s">
        <v>41</v>
      </c>
      <c r="N374" s="2" t="s">
        <v>2307</v>
      </c>
      <c r="O374" s="2" t="s">
        <v>29</v>
      </c>
      <c r="P374" s="2" t="s">
        <v>2308</v>
      </c>
    </row>
    <row r="375" customFormat="false" ht="46.25" hidden="false" customHeight="false" outlineLevel="0" collapsed="false">
      <c r="A375" s="2" t="s">
        <v>16</v>
      </c>
      <c r="B375" s="2" t="s">
        <v>17</v>
      </c>
      <c r="C375" s="2" t="s">
        <v>2309</v>
      </c>
      <c r="D375" s="2" t="s">
        <v>53</v>
      </c>
      <c r="E375" s="2" t="s">
        <v>17</v>
      </c>
      <c r="F375" s="2" t="s">
        <v>2310</v>
      </c>
      <c r="G375" s="2" t="s">
        <v>2311</v>
      </c>
      <c r="H375" s="2" t="s">
        <v>37</v>
      </c>
      <c r="I375" s="2" t="s">
        <v>514</v>
      </c>
      <c r="J375" s="2" t="s">
        <v>24</v>
      </c>
      <c r="K375" s="2" t="s">
        <v>25</v>
      </c>
      <c r="L375" s="2" t="s">
        <v>2259</v>
      </c>
      <c r="M375" s="2" t="s">
        <v>41</v>
      </c>
      <c r="N375" s="2" t="s">
        <v>2312</v>
      </c>
      <c r="O375" s="2" t="s">
        <v>29</v>
      </c>
      <c r="P375" s="2" t="s">
        <v>2313</v>
      </c>
    </row>
    <row r="376" customFormat="false" ht="79.85" hidden="false" customHeight="false" outlineLevel="0" collapsed="false">
      <c r="A376" s="4" t="s">
        <v>16</v>
      </c>
      <c r="B376" s="4" t="s">
        <v>43</v>
      </c>
      <c r="C376" s="4" t="s">
        <v>2314</v>
      </c>
      <c r="D376" s="4" t="s">
        <v>241</v>
      </c>
      <c r="E376" s="4" t="s">
        <v>17</v>
      </c>
      <c r="F376" s="4" t="s">
        <v>2315</v>
      </c>
      <c r="G376" s="4" t="s">
        <v>2316</v>
      </c>
      <c r="H376" s="4" t="s">
        <v>2317</v>
      </c>
      <c r="I376" s="4" t="s">
        <v>57</v>
      </c>
      <c r="J376" s="4" t="s">
        <v>455</v>
      </c>
      <c r="K376" s="4" t="s">
        <v>25</v>
      </c>
      <c r="L376" s="4" t="s">
        <v>2318</v>
      </c>
      <c r="M376" s="4" t="s">
        <v>41</v>
      </c>
      <c r="N376" s="4" t="s">
        <v>2319</v>
      </c>
      <c r="O376" s="4" t="s">
        <v>29</v>
      </c>
      <c r="P376" s="4" t="s">
        <v>2320</v>
      </c>
    </row>
    <row r="377" customFormat="false" ht="79.85" hidden="false" customHeight="false" outlineLevel="0" collapsed="false">
      <c r="A377" s="2" t="s">
        <v>16</v>
      </c>
      <c r="B377" s="2" t="s">
        <v>43</v>
      </c>
      <c r="C377" s="2" t="s">
        <v>2321</v>
      </c>
      <c r="D377" s="2" t="s">
        <v>45</v>
      </c>
      <c r="E377" s="2" t="s">
        <v>78</v>
      </c>
      <c r="F377" s="2" t="s">
        <v>2322</v>
      </c>
      <c r="G377" s="2" t="s">
        <v>2323</v>
      </c>
      <c r="H377" s="2" t="s">
        <v>37</v>
      </c>
      <c r="I377" s="2" t="s">
        <v>2264</v>
      </c>
      <c r="J377" s="2" t="s">
        <v>2324</v>
      </c>
      <c r="K377" s="2" t="s">
        <v>123</v>
      </c>
      <c r="L377" s="2" t="s">
        <v>701</v>
      </c>
      <c r="M377" s="2" t="s">
        <v>41</v>
      </c>
      <c r="N377" s="2" t="s">
        <v>2325</v>
      </c>
      <c r="O377" s="2" t="s">
        <v>29</v>
      </c>
      <c r="P377" s="2" t="s">
        <v>2326</v>
      </c>
    </row>
  </sheetData>
  <autoFilter ref="A1:P3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s>
  <sheetData>
    <row r="1" customFormat="false" ht="15" hidden="false" customHeight="false" outlineLevel="0" collapsed="false">
      <c r="A1" s="5" t="s">
        <v>2327</v>
      </c>
      <c r="B1" s="5" t="s">
        <v>2328</v>
      </c>
    </row>
    <row r="2" customFormat="false" ht="15" hidden="false" customHeight="false" outlineLevel="0" collapsed="false">
      <c r="A2" s="6" t="s">
        <v>2329</v>
      </c>
      <c r="B2" s="6" t="n">
        <f aca="false">COUNTA(Dataset!A2:A377)</f>
        <v>376</v>
      </c>
    </row>
    <row r="4" customFormat="false" ht="15" hidden="false" customHeight="false" outlineLevel="0" collapsed="false">
      <c r="A4" s="6" t="s">
        <v>2330</v>
      </c>
    </row>
    <row r="5" customFormat="false" ht="15" hidden="false" customHeight="false" outlineLevel="0" collapsed="false">
      <c r="A5" s="6" t="s">
        <v>2331</v>
      </c>
      <c r="B5" s="6" t="n">
        <f aca="false">COUNTIF(Dataset!O2:O377,"Mismatch found")</f>
        <v>0</v>
      </c>
    </row>
    <row r="6" customFormat="false" ht="15" hidden="false" customHeight="false" outlineLevel="0" collapsed="false">
      <c r="A6" s="6" t="s">
        <v>2332</v>
      </c>
      <c r="B6" s="6" t="n">
        <f aca="false">COUNTIF(Dataset!O2:O377,"Not yet verified")</f>
        <v>39</v>
      </c>
    </row>
    <row r="7" customFormat="false" ht="15" hidden="false" customHeight="false" outlineLevel="0" collapsed="false">
      <c r="A7" s="6" t="s">
        <v>2333</v>
      </c>
      <c r="B7" s="6" t="n">
        <f aca="false">COUNTIF(Dataset!O2:O377,"Verified")</f>
        <v>337</v>
      </c>
    </row>
    <row r="9" customFormat="false" ht="15" hidden="false" customHeight="false" outlineLevel="0" collapsed="false">
      <c r="A9" s="6" t="s">
        <v>2334</v>
      </c>
    </row>
    <row r="10" customFormat="false" ht="15" hidden="false" customHeight="false" outlineLevel="0" collapsed="false">
      <c r="A10" s="6" t="s">
        <v>2335</v>
      </c>
      <c r="B10" s="6" t="n">
        <f aca="false">COUNTIF(Dataset!A2:A377,"Algeria")</f>
        <v>65</v>
      </c>
    </row>
    <row r="11" customFormat="false" ht="15" hidden="false" customHeight="false" outlineLevel="0" collapsed="false">
      <c r="A11" s="6" t="s">
        <v>2336</v>
      </c>
      <c r="B11" s="6" t="n">
        <f aca="false">COUNTIF(Dataset!A2:A377,"Egypt")</f>
        <v>113</v>
      </c>
    </row>
    <row r="12" customFormat="false" ht="15" hidden="false" customHeight="false" outlineLevel="0" collapsed="false">
      <c r="A12" s="6" t="s">
        <v>2337</v>
      </c>
      <c r="B12" s="6" t="n">
        <f aca="false">COUNTIF(Dataset!A2:A377,"Lebanon")</f>
        <v>24</v>
      </c>
    </row>
    <row r="13" customFormat="false" ht="15" hidden="false" customHeight="false" outlineLevel="0" collapsed="false">
      <c r="A13" s="6" t="s">
        <v>2338</v>
      </c>
      <c r="B13" s="6" t="n">
        <f aca="false">COUNTIF(Dataset!A2:A377,"Morocco")</f>
        <v>89</v>
      </c>
    </row>
    <row r="14" customFormat="false" ht="15" hidden="false" customHeight="false" outlineLevel="0" collapsed="false">
      <c r="A14" s="6" t="s">
        <v>2339</v>
      </c>
      <c r="B14" s="6" t="n">
        <f aca="false">COUNTIF(Dataset!A2:A377,"Tunisia")</f>
        <v>85</v>
      </c>
    </row>
    <row r="16" customFormat="false" ht="15" hidden="false" customHeight="false" outlineLevel="0" collapsed="false">
      <c r="A16" s="6" t="s">
        <v>2340</v>
      </c>
    </row>
    <row r="17" customFormat="false" ht="15" hidden="false" customHeight="false" outlineLevel="0" collapsed="false">
      <c r="A17" s="6" t="s">
        <v>2341</v>
      </c>
      <c r="B17" s="6" t="n">
        <f aca="false">COUNTIF(Dataset!E2:E377,"Hub")</f>
        <v>156</v>
      </c>
    </row>
    <row r="18" customFormat="false" ht="15" hidden="false" customHeight="false" outlineLevel="0" collapsed="false">
      <c r="A18" s="6" t="s">
        <v>2342</v>
      </c>
      <c r="B18" s="6" t="n">
        <f aca="false">COUNTIF(Dataset!E2:E377,"Investor")</f>
        <v>30</v>
      </c>
    </row>
    <row r="19" customFormat="false" ht="15" hidden="false" customHeight="false" outlineLevel="0" collapsed="false">
      <c r="A19" s="6" t="s">
        <v>2343</v>
      </c>
      <c r="B19" s="6" t="n">
        <f aca="false">COUNTIF(Dataset!E2:E377,"Policy")</f>
        <v>55</v>
      </c>
    </row>
    <row r="20" customFormat="false" ht="15" hidden="false" customHeight="false" outlineLevel="0" collapsed="false">
      <c r="A20" s="6" t="s">
        <v>2344</v>
      </c>
      <c r="B20" s="6" t="n">
        <f aca="false">COUNTIF(Dataset!E2:E377,"Startup")</f>
        <v>135</v>
      </c>
    </row>
    <row r="22" customFormat="false" ht="15" hidden="false" customHeight="false" outlineLevel="0" collapsed="false">
      <c r="A22" s="6" t="s">
        <v>2345</v>
      </c>
    </row>
    <row r="23" customFormat="false" ht="15" hidden="false" customHeight="false" outlineLevel="0" collapsed="false">
      <c r="A23" s="6" t="s">
        <v>2346</v>
      </c>
      <c r="B23" s="6" t="n">
        <f aca="false">COUNTIF(Dataset!D2:D377,"Agriculture")</f>
        <v>20</v>
      </c>
    </row>
    <row r="24" customFormat="false" ht="15" hidden="false" customHeight="false" outlineLevel="0" collapsed="false">
      <c r="A24" s="6" t="s">
        <v>2347</v>
      </c>
      <c r="B24" s="6" t="n">
        <f aca="false">COUNTIF(Dataset!D2:D377,"Cross-sector")</f>
        <v>62</v>
      </c>
    </row>
    <row r="25" customFormat="false" ht="15" hidden="false" customHeight="false" outlineLevel="0" collapsed="false">
      <c r="A25" s="6" t="s">
        <v>2348</v>
      </c>
      <c r="B25" s="6" t="n">
        <f aca="false">COUNTIF(Dataset!D2:D377,"Education")</f>
        <v>76</v>
      </c>
    </row>
    <row r="26" customFormat="false" ht="15" hidden="false" customHeight="false" outlineLevel="0" collapsed="false">
      <c r="A26" s="6" t="s">
        <v>2349</v>
      </c>
      <c r="B26" s="6" t="n">
        <f aca="false">COUNTIF(Dataset!D2:D377,"Energy")</f>
        <v>4</v>
      </c>
    </row>
    <row r="27" customFormat="false" ht="15" hidden="false" customHeight="false" outlineLevel="0" collapsed="false">
      <c r="A27" s="6" t="s">
        <v>2350</v>
      </c>
      <c r="B27" s="6" t="n">
        <f aca="false">COUNTIF(Dataset!D2:D377,"Finance")</f>
        <v>60</v>
      </c>
    </row>
    <row r="28" customFormat="false" ht="15" hidden="false" customHeight="false" outlineLevel="0" collapsed="false">
      <c r="A28" s="6" t="s">
        <v>2351</v>
      </c>
      <c r="B28" s="6" t="n">
        <f aca="false">COUNTIF(Dataset!D2:D377,"Government")</f>
        <v>44</v>
      </c>
    </row>
    <row r="29" customFormat="false" ht="15" hidden="false" customHeight="false" outlineLevel="0" collapsed="false">
      <c r="A29" s="6" t="s">
        <v>2352</v>
      </c>
      <c r="B29" s="6" t="n">
        <f aca="false">COUNTIF(Dataset!D2:D377,"Healthcare")</f>
        <v>16</v>
      </c>
    </row>
    <row r="30" customFormat="false" ht="15" hidden="false" customHeight="false" outlineLevel="0" collapsed="false">
      <c r="A30" s="6" t="s">
        <v>2353</v>
      </c>
      <c r="B30" s="6" t="n">
        <f aca="false">COUNTIF(Dataset!D2:D377,"Industry")</f>
        <v>93</v>
      </c>
    </row>
    <row r="31" customFormat="false" ht="15" hidden="false" customHeight="false" outlineLevel="0" collapsed="false">
      <c r="A31" s="6" t="s">
        <v>2354</v>
      </c>
      <c r="B31" s="6" t="n">
        <f aca="false">COUNTIF(Dataset!D2:D377,"Maritime")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110"/>
  </cols>
  <sheetData>
    <row r="1" customFormat="false" ht="15" hidden="false" customHeight="false" outlineLevel="0" collapsed="false">
      <c r="A1" s="1" t="s">
        <v>2355</v>
      </c>
      <c r="B1" s="1" t="s">
        <v>2356</v>
      </c>
    </row>
    <row r="2" customFormat="false" ht="23.85" hidden="false" customHeight="false" outlineLevel="0" collapsed="false">
      <c r="A2" s="4" t="s">
        <v>2357</v>
      </c>
      <c r="B2" s="4" t="s">
        <v>2358</v>
      </c>
    </row>
    <row r="3" customFormat="false" ht="35.05" hidden="false" customHeight="false" outlineLevel="0" collapsed="false">
      <c r="A3" s="4" t="s">
        <v>2359</v>
      </c>
      <c r="B3" s="4" t="s">
        <v>2360</v>
      </c>
    </row>
    <row r="4" customFormat="false" ht="23.85" hidden="false" customHeight="false" outlineLevel="0" collapsed="false">
      <c r="A4" s="4" t="s">
        <v>2361</v>
      </c>
      <c r="B4" s="4" t="s">
        <v>2362</v>
      </c>
    </row>
    <row r="5" customFormat="false" ht="35.05" hidden="false" customHeight="false" outlineLevel="0" collapsed="false">
      <c r="A5" s="4" t="s">
        <v>2363</v>
      </c>
      <c r="B5" s="4" t="s">
        <v>2364</v>
      </c>
    </row>
    <row r="6" customFormat="false" ht="23.85" hidden="false" customHeight="false" outlineLevel="0" collapsed="false">
      <c r="A6" s="4" t="s">
        <v>2365</v>
      </c>
      <c r="B6" s="4" t="s">
        <v>2366</v>
      </c>
    </row>
    <row r="7" customFormat="false" ht="35.05" hidden="false" customHeight="false" outlineLevel="0" collapsed="false">
      <c r="A7" s="4" t="s">
        <v>2367</v>
      </c>
      <c r="B7" s="4" t="s">
        <v>2368</v>
      </c>
    </row>
    <row r="8" customFormat="false" ht="23.85" hidden="false" customHeight="false" outlineLevel="0" collapsed="false">
      <c r="A8" s="4" t="s">
        <v>2369</v>
      </c>
      <c r="B8" s="4" t="s">
        <v>2370</v>
      </c>
    </row>
    <row r="9" customFormat="false" ht="23.85" hidden="false" customHeight="false" outlineLevel="0" collapsed="false">
      <c r="A9" s="4" t="s">
        <v>2371</v>
      </c>
      <c r="B9" s="4" t="s">
        <v>2372</v>
      </c>
    </row>
    <row r="10" customFormat="false" ht="23.85" hidden="false" customHeight="false" outlineLevel="0" collapsed="false">
      <c r="A10" s="4" t="s">
        <v>2373</v>
      </c>
      <c r="B10" s="4" t="s">
        <v>2374</v>
      </c>
    </row>
    <row r="11" customFormat="false" ht="68.65" hidden="false" customHeight="false" outlineLevel="0" collapsed="false">
      <c r="A11" s="4" t="s">
        <v>2375</v>
      </c>
      <c r="B11" s="4" t="s">
        <v>2376</v>
      </c>
    </row>
    <row r="12" customFormat="false" ht="46.25" hidden="false" customHeight="false" outlineLevel="0" collapsed="false">
      <c r="A12" s="4" t="s">
        <v>2377</v>
      </c>
      <c r="B12" s="4" t="s">
        <v>2378</v>
      </c>
    </row>
    <row r="13" customFormat="false" ht="102.2" hidden="false" customHeight="false" outlineLevel="0" collapsed="false">
      <c r="A13" s="4" t="s">
        <v>2379</v>
      </c>
      <c r="B13" s="4" t="s">
        <v>2380</v>
      </c>
    </row>
    <row r="14" customFormat="false" ht="35.05" hidden="false" customHeight="false" outlineLevel="0" collapsed="false">
      <c r="A14" s="4" t="s">
        <v>2381</v>
      </c>
      <c r="B14" s="4" t="s">
        <v>2382</v>
      </c>
    </row>
    <row r="15" customFormat="false" ht="15" hidden="false" customHeight="false" outlineLevel="0" collapsed="false">
      <c r="A15" s="4" t="s">
        <v>2383</v>
      </c>
      <c r="B15" s="4" t="s">
        <v>2384</v>
      </c>
    </row>
    <row r="16" customFormat="false" ht="46.25" hidden="false" customHeight="false" outlineLevel="0" collapsed="false">
      <c r="A16" s="4" t="s">
        <v>2385</v>
      </c>
      <c r="B16" s="4" t="s">
        <v>2386</v>
      </c>
    </row>
    <row r="17" customFormat="false" ht="68.65" hidden="false" customHeight="false" outlineLevel="0" collapsed="false">
      <c r="A17" s="4" t="s">
        <v>2387</v>
      </c>
      <c r="B17" s="4" t="s">
        <v>2388</v>
      </c>
    </row>
    <row r="18" customFormat="false" ht="35.05" hidden="false" customHeight="false" outlineLevel="0" collapsed="false">
      <c r="A18" s="4" t="s">
        <v>2389</v>
      </c>
      <c r="B18" s="4" t="s">
        <v>2390</v>
      </c>
    </row>
    <row r="19" customFormat="false" ht="68.65" hidden="false" customHeight="false" outlineLevel="0" collapsed="false">
      <c r="A19" s="4" t="s">
        <v>2391</v>
      </c>
      <c r="B19" s="4" t="s">
        <v>2392</v>
      </c>
    </row>
    <row r="20" customFormat="false" ht="57.45" hidden="false" customHeight="false" outlineLevel="0" collapsed="false">
      <c r="A20" s="4" t="s">
        <v>2393</v>
      </c>
      <c r="B20" s="4" t="s">
        <v>2394</v>
      </c>
    </row>
    <row r="21" customFormat="false" ht="23.85" hidden="false" customHeight="false" outlineLevel="0" collapsed="false">
      <c r="A21" s="4" t="s">
        <v>2395</v>
      </c>
      <c r="B21" s="4" t="s">
        <v>2396</v>
      </c>
    </row>
    <row r="22" customFormat="false" ht="35.05" hidden="false" customHeight="false" outlineLevel="0" collapsed="false">
      <c r="A22" s="4" t="s">
        <v>2397</v>
      </c>
      <c r="B22" s="4" t="s">
        <v>2398</v>
      </c>
    </row>
    <row r="23" customFormat="false" ht="91" hidden="false" customHeight="false" outlineLevel="0" collapsed="false">
      <c r="A23" s="4" t="s">
        <v>2399</v>
      </c>
      <c r="B23" s="4" t="s">
        <v>2400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2026-08-09T22:50:57Z</dcterms:created>
  <dc:creator>openpyxl</dc:creator>
  <dc:description/>
  <dc:language>en-US</dc:language>
  <cp:lastModifiedBy/>
  <dcterms:modified xsi:type="dcterms:W3CDTF">2026-08-09T22:50:57Z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