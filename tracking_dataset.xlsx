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set" sheetId="1" state="visible" r:id="rId3"/>
    <sheet name="Summary" sheetId="2" state="visible" r:id="rId4"/>
    <sheet name="Charts" sheetId="3" state="visible" r:id="rId5"/>
    <sheet name="Change Log" sheetId="4" state="visible" r:id="rId6"/>
  </sheets>
  <definedNames>
    <definedName function="false" hidden="true" localSheetId="0" name="_xlnm._FilterDatabase" vbProcedure="false">Dataset!$A$1:$P$638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<sst xmlns="http://schemas.openxmlformats.org/spreadsheetml/2006/main" count="9742" uniqueCount="3877">
  <si>
    <t xml:space="preserve">Country</t>
  </si>
  <si>
    <t xml:space="preserve">Sector</t>
  </si>
  <si>
    <t xml:space="preserve">Sub-Sector</t>
  </si>
  <si>
    <t xml:space="preserve">Entity Type</t>
  </si>
  <si>
    <t xml:space="preserve">Maturity</t>
  </si>
  <si>
    <t xml:space="preserve">Entity / Innovation Name</t>
  </si>
  <si>
    <t xml:space="preserve">Key Innovation / Description</t>
  </si>
  <si>
    <t xml:space="preserve">Information Type</t>
  </si>
  <si>
    <t xml:space="preserve">Reference Date</t>
  </si>
  <si>
    <t xml:space="preserve">Last Verified</t>
  </si>
  <si>
    <t xml:space="preserve">Recent Funding</t>
  </si>
  <si>
    <t xml:space="preserve">Source Name</t>
  </si>
  <si>
    <t xml:space="preserve">Source Type</t>
  </si>
  <si>
    <t xml:space="preserve">Source URL</t>
  </si>
  <si>
    <t xml:space="preserve">Verification Status</t>
  </si>
  <si>
    <t xml:space="preserve">Notes</t>
  </si>
  <si>
    <t xml:space="preserve">Algeria</t>
  </si>
  <si>
    <t xml:space="preserve">Industry</t>
  </si>
  <si>
    <t xml:space="preserve">Developer &amp; AI community</t>
  </si>
  <si>
    <t xml:space="preserve">Community/Association</t>
  </si>
  <si>
    <t xml:space="preserve">Established</t>
  </si>
  <si>
    <t xml:space="preserve">GDG Algiers (Google Developer Group Algiers &amp; DevFest Algiers)</t>
  </si>
  <si>
    <t xml:space="preserve">Long-running Google Developer Group chapter in Algiers running DevFest Algiers and AI-focused programming ('Build with AI', AiFest at ENSIA via GDG on Campus), one of Algeria's largest volunteer tech communities training students in ML and cloud technologies.</t>
  </si>
  <si>
    <t xml:space="preserve">Community profile</t>
  </si>
  <si>
    <t xml:space="preserve">2024</t>
  </si>
  <si>
    <t xml:space="preserve">2026-08-05</t>
  </si>
  <si>
    <t xml:space="preserve">Google Developer Groups</t>
  </si>
  <si>
    <t xml:space="preserve">Primary</t>
  </si>
  <si>
    <t xml:space="preserve">https://gdg.community.dev/gdg-algiers/</t>
  </si>
  <si>
    <t xml:space="preserve">Verified</t>
  </si>
  <si>
    <t xml:space="preserve">Official Google community platform page plus gdgalgiers.com DevFest 2024 site and GDG-on-Campus ENSIA AI event listings. [Added 2026-08-05 expansion pass]</t>
  </si>
  <si>
    <t xml:space="preserve">Education</t>
  </si>
  <si>
    <t xml:space="preserve">Machine learning community conference</t>
  </si>
  <si>
    <t xml:space="preserve">IndabaX Algeria</t>
  </si>
  <si>
    <t xml:space="preserve">Algerian chapter of the Deep Learning Indaba movement 'Strengthening African Machine Learning', holding locally organized IndabaX Algeria editions (2022, 2023 and a listed 2025 edition) that gather students and researchers for ML/AI tutorials and talks.</t>
  </si>
  <si>
    <t xml:space="preserve">Event</t>
  </si>
  <si>
    <t xml:space="preserve">2025</t>
  </si>
  <si>
    <t xml:space="preserve">Deep Learning Indaba</t>
  </si>
  <si>
    <t xml:space="preserve">https://deeplearningindaba.com/2025/indabax/algeria/</t>
  </si>
  <si>
    <t xml:space="preserve">Listed on the official Deep Learning Indaba site (2023 and 2025 IndabaX pages) plus dedicated indabaxalgeria.com site; 2025 page has limited detail. [Added 2026-08-05 expansion pass] [Merge re-audit 2026-08] Ecosystem Type corrected: 'Conference/Summit' -&gt; 'Community/Association'. Was Conference/Summit - same pattern as IndabaX Tunisia: a recurring local chapter of the Deep Learning Indaba movement gathering students/researchers, not a single conference.</t>
  </si>
  <si>
    <t xml:space="preserve">AI Skills Training</t>
  </si>
  <si>
    <t xml:space="preserve">Skills Centers (Scale Centers) network</t>
  </si>
  <si>
    <t xml:space="preserve">Government network of seven free regional digital-skills centres (Algiers, Oran, Annaba, Setif, Chlef, Saida, Adrar) training youth in AI, IoT, cybersecurity and cloud.</t>
  </si>
  <si>
    <t xml:space="preserve">News article</t>
  </si>
  <si>
    <t xml:space="preserve">2026-07-22</t>
  </si>
  <si>
    <t xml:space="preserve">We Are Tech Africa</t>
  </si>
  <si>
    <t xml:space="preserve">Primary (News)</t>
  </si>
  <si>
    <t xml:space="preserve">https://www.wearetech.africa/en/fils-uk/news/public-management/algeria-launches-setif-skills-center-to-boost-youth-innovation-with-free-ai-and-ict-training</t>
  </si>
  <si>
    <t xml:space="preserve">Corroborated by TechAfrica News. [Reclassified 2026-08-01] Old Sector: 'General' -&gt; New: 'Energy, Agriculture, Maritime, Health, Industry, Education'. Old Entity Type: 'Hub' -&gt; New Ecosystem Type: 'Community/Association'. [Refined 2026-08-02] Sector forced to single label 'Industry' (was multi-sector: Energy, Agriculture, Maritime, Health, Industry, Education). Maturity inferred as 'Established' (structural-type).</t>
  </si>
  <si>
    <t xml:space="preserve">Pan-African Startup &amp; AI Conference</t>
  </si>
  <si>
    <t xml:space="preserve">Conference/Summit</t>
  </si>
  <si>
    <t xml:space="preserve">African Startup Conference (Algiers)</t>
  </si>
  <si>
    <t xml:space="preserve">Annual pan-African startup conference at CIC Algiers; 3rd edition (Dec 2024) put AI at its heart with 45 ministers, 800+ investors/startups, an AI tech exhibition and an African VC Summit.</t>
  </si>
  <si>
    <t xml:space="preserve">2024-12</t>
  </si>
  <si>
    <t xml:space="preserve">AL24 News</t>
  </si>
  <si>
    <t xml:space="preserve">https://al24news.dz/en/african-start-up-conference-ai-at-the-heart-of-3rd-edition-in-algiers/</t>
  </si>
  <si>
    <t xml:space="preserve">[Reclassified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</si>
  <si>
    <t xml:space="preserve">Tech Conference (AI/Cloud/Cyber)</t>
  </si>
  <si>
    <t xml:space="preserve">Algeria 2.0</t>
  </si>
  <si>
    <t xml:space="preserve">Long-running Algerian tech event (13th edition, 24-28 Nov 2026, Sidi Abdellah Cyberparc) with workshops and hackathons on AI, cloud, cybersecurity, web/mobile and SaaS.</t>
  </si>
  <si>
    <t xml:space="preserve">Event page</t>
  </si>
  <si>
    <t xml:space="preserve">2026-11-24</t>
  </si>
  <si>
    <t xml:space="preserve">Algeria 2.0 (official)</t>
  </si>
  <si>
    <t xml:space="preserve">https://algeria20.com/?lang=en</t>
  </si>
  <si>
    <t xml:space="preserve">[Reclassified 2026-08-01] Old Sector: 'General' -&gt; New: 'Energy, Agriculture, Maritime, Health, Industry, Education'. Old Entity Type: 'Hub' -&gt; New Ecosystem Type: 'Hackathons'. [Refined 2026-08-02] Sector forced to single label 'Industry' (was multi-sector: Energy, Agriculture, Maritime, Health, Industry, Education). Maturity inferred as 'Idea-stage' (hackathon-type). [Audit 2026-08-05] Entity Type corrected: 'Hackathons' -&gt; 'Conference/Summit'. [Audit 2026-08-05] Reason: long-running tech conference (13th edition); hackathons are a sub-activity [Audit 2026-08-05] Maturity corrected: 'Idea-stage' -&gt; 'Established'. [Audit 2026-08-05] Reason: 13th-edition long-running event; structural-type</t>
  </si>
  <si>
    <t xml:space="preserve">Health</t>
  </si>
  <si>
    <t xml:space="preserve">E-health innovation competition</t>
  </si>
  <si>
    <t xml:space="preserve">Early</t>
  </si>
  <si>
    <t xml:space="preserve">Algiers Slush'D E-Health Innovation Awards (Roche Algérie x Algeria Venture)</t>
  </si>
  <si>
    <t xml:space="preserve">Inaugural Algiers Slush'D health-innovation track co-organized by Roche Algérie and public accelerator Algeria Venture under the patronage of the startups and health ministries; in January 2025 it selected three digital-health startups (Sihatech, Docteur 360, M-Click) from 40 submissions for a dedicated acceleration program.</t>
  </si>
  <si>
    <t xml:space="preserve">2025-01-24</t>
  </si>
  <si>
    <t xml:space="preserve">Algérie Eco</t>
  </si>
  <si>
    <t xml:space="preserve">https://algerie-eco.com/2025/01/24/e-sante-3-startups-algeriennes-recompensees-pour-leur-innovation/</t>
  </si>
  <si>
    <t xml:space="preserve">Algérie Eco report read directly; also relayed by AllAfrica, naming organizers, jury criteria and the three winners. [Added 2026-08-05 expansion pass]</t>
  </si>
  <si>
    <t xml:space="preserve">Tech leadership forum (AI theme)</t>
  </si>
  <si>
    <t xml:space="preserve">CTO Forum Algeria</t>
  </si>
  <si>
    <t xml:space="preserve">Technology leadership forum organized by BoostEvent whose inaugural edition (8-10 May 2023, CIC Abdelatif-Rahal, Algiers) took AI as its opening theme with ~150 exhibitors and speakers including Merouane Debbah on large language models and Algeria Venture's Sid Ali Zerrouki.</t>
  </si>
  <si>
    <t xml:space="preserve">2023-05-08</t>
  </si>
  <si>
    <t xml:space="preserve">Charikati</t>
  </si>
  <si>
    <t xml:space="preserve">https://dzcharikati.net/1e-cto-forum-algeria-lintelligence-artificielle-comme-thematique-inaugurale/</t>
  </si>
  <si>
    <t xml:space="preserve">Detailed Charikati event report read directly, listing organizers, ministers in attendance and AI program content. [Added 2026-08-05 expansion pass]</t>
  </si>
  <si>
    <t xml:space="preserve">National ICT &amp; AI forum</t>
  </si>
  <si>
    <t xml:space="preserve">Connected Algeria 2025</t>
  </si>
  <si>
    <t xml:space="preserve">Government ICT and digital transformation forum held 6-7 April 2025 at the International Conference Center in Algiers under the Ministry of Post and Telecommunications (Minister Sid Ali Zerrouki), gathering 1,000+ experts; AI was a central theme, with the minister announcing the national AI strategy was in its final drafting phase.</t>
  </si>
  <si>
    <t xml:space="preserve">2025-04-06</t>
  </si>
  <si>
    <t xml:space="preserve">Ouest Tribune</t>
  </si>
  <si>
    <t xml:space="preserve">https://ouest-tribune.dz/connected-algeria-2025-une-plateforme-strategique-pour-la-transformation-numerique-de-lalgerie/</t>
  </si>
  <si>
    <t xml:space="preserve">Cross-checked Ouest Tribune report with APS closing-session coverage and the official connectedalgeria.dz site. [Added 2026-08-05 expansion pass]</t>
  </si>
  <si>
    <t xml:space="preserve">Venture Capital</t>
  </si>
  <si>
    <t xml:space="preserve">Funding</t>
  </si>
  <si>
    <t xml:space="preserve">Afiya Investments</t>
  </si>
  <si>
    <t xml:space="preserve">First venture-capital fund (FCPR) approved by Algeria's market regulator COSOB, managed by Tell Group, financing innovative early/growth-stage startups.</t>
  </si>
  <si>
    <t xml:space="preserve">2026-07-27</t>
  </si>
  <si>
    <t xml:space="preserve">Undisclosed</t>
  </si>
  <si>
    <t xml:space="preserve">Techpression</t>
  </si>
  <si>
    <t xml:space="preserve">https://techpression.com/algeria-startup-ecosystem-2025-reforms-driving-tech-innovation-and-growth/</t>
  </si>
  <si>
    <t xml:space="preserve">[Pending verification] AI-specific mandate general. Confirmed via dedicated research pass: Algeria's first COSOB-approved private VC vehicle (FCPR), managed by Tell Markets. Note: AI is not an explicit mandate - general VC vehicle.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</si>
  <si>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Algerian Startup Fund (ASF)</t>
  </si>
  <si>
    <t xml:space="preserve">Public VC company (created Oct 2020 with six public banks) financing labelled Algerian startups, including AI ventures.</t>
  </si>
  <si>
    <t xml:space="preserve">Investor profile</t>
  </si>
  <si>
    <t xml:space="preserve">2020-10</t>
  </si>
  <si>
    <t xml:space="preserve">ASF (official)</t>
  </si>
  <si>
    <t xml:space="preserve">https://asf.dz/</t>
  </si>
  <si>
    <t xml:space="preserve">Bank-backed fintech fund launch confirmed. [Reclassified 2026-08-01] Old Sector: 'Fintech'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</si>
  <si>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Public Venture Funding</t>
  </si>
  <si>
    <t xml:space="preserve">Algerie Telecom AI/Cybersecurity/Robotics Fund</t>
  </si>
  <si>
    <t xml:space="preserve">State telecom operator's ~1.5bn-dinar (~$11M) fund announced 2025 to invest in AI, cybersecurity and robotics startups.</t>
  </si>
  <si>
    <t xml:space="preserve">News</t>
  </si>
  <si>
    <t xml:space="preserve">2025-02</t>
  </si>
  <si>
    <t xml:space="preserve">$11,000,000</t>
  </si>
  <si>
    <t xml:space="preserve">LaunchBase Africa</t>
  </si>
  <si>
    <t xml:space="preserve">https://launchbaseafrica.com/2025/02/18/algeria-bets-big-on-ai-startups-with-new-investment-fund/</t>
  </si>
  <si>
    <t xml:space="preserve">[Reclassified 2026-08-01] Old Sector: 'General' -&gt; New: 'Industry'. Old Entity Type: 'Investor' -&gt; New Ecosystem Type: 'Funding'. [Refined 2026-08-02] Sector set to 'Industry'. Maturity inferred as 'Established' (structural-type).</t>
  </si>
  <si>
    <t xml:space="preserve">Ecosystem Statistics</t>
  </si>
  <si>
    <t xml:space="preserve">CEPS AI World Country Profile (Algeria)</t>
  </si>
  <si>
    <t xml:space="preserve">Macroeconomic tracking index compiling national parameters such as the $7 million in annual AI investments.</t>
  </si>
  <si>
    <t xml:space="preserve">Ecosystem statistics</t>
  </si>
  <si>
    <t xml:space="preserve">2026-01-01</t>
  </si>
  <si>
    <t xml:space="preserve">2026-07-08</t>
  </si>
  <si>
    <t xml:space="preserve">$7,000,000</t>
  </si>
  <si>
    <t xml:space="preserve">AIWorld.eu (Country Profile)</t>
  </si>
  <si>
    <t xml:space="preserve">Aggregator</t>
  </si>
  <si>
    <t xml:space="preserve">https://www.aiworld.eu/geo/algeria</t>
  </si>
  <si>
    <t xml:space="preserve">[Pending verification] Direct AI investments not individually verified. Confirmed via dedicated research pass: real Tunis asset manager; New Era Fund I (EUR7M first close) targets AI, biotech and green tech - AI is one of three sectors, not exclusive focus.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</si>
  <si>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Angel Investment Network</t>
  </si>
  <si>
    <t xml:space="preserve">Casbah Business Angels</t>
  </si>
  <si>
    <t xml:space="preserve">First independent Algerian business-angel network (launched 2012 by Silicon Valley and Algerian CEOs), providing early-stage funding and mentorship to Algerian tech startups.</t>
  </si>
  <si>
    <t xml:space="preserve">2012</t>
  </si>
  <si>
    <t xml:space="preserve">Gust</t>
  </si>
  <si>
    <t xml:space="preserve">https://gust.com/organizations/casbah-business-angels</t>
  </si>
  <si>
    <t xml:space="preserve">Cross-checked with VC4A and MAGNiTT; generalist tech investor.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</si>
  <si>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Public Venture Programme / Fund</t>
  </si>
  <si>
    <t xml:space="preserve">National Venture Studio Programme</t>
  </si>
  <si>
    <t xml:space="preserve">$600M public-private, five-year programme (Algerian Startup Fund + CERIST + venture studio DeepMinds) to create 1,000+ tech ventures across all 58 provinces.</t>
  </si>
  <si>
    <t xml:space="preserve">$600,000,000</t>
  </si>
  <si>
    <t xml:space="preserve">Middle East AI News</t>
  </si>
  <si>
    <t xml:space="preserve">https://www.middleeastainews.com/p/algeria-venture-studio-1000-startups</t>
  </si>
  <si>
    <t xml:space="preserve">Cross-verified via DeepMinds press release and BridgeMENA.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</si>
  <si>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Startup Competition with AI Track</t>
  </si>
  <si>
    <t xml:space="preserve">Hackathons</t>
  </si>
  <si>
    <t xml:space="preserve">Idea-stage</t>
  </si>
  <si>
    <t xml:space="preserve">Algeria Startup Challenge (ASC)</t>
  </si>
  <si>
    <t xml:space="preserve">Largest Algerian open-innovation startup program (created 2018); 7th edition final (24 Nov 2025, Sidi Fredj) with 16 finalists and panels on AI's structuring role in the national economy.</t>
  </si>
  <si>
    <t xml:space="preserve">Event page + news</t>
  </si>
  <si>
    <t xml:space="preserve">2025-11-24</t>
  </si>
  <si>
    <t xml:space="preserve">Algeria Startup Challenge (official)</t>
  </si>
  <si>
    <t xml:space="preserve">https://algeriastartupchallenge.com/</t>
  </si>
  <si>
    <t xml:space="preserve">Official site; venue and AI topics stated. [Reclassified 2026-08-01] Old Sector: 'General' -&gt; New: 'Energy, Agriculture, Maritime, Health, Industry, Education'. Old Entity Type: 'Hub' -&gt; New Ecosystem Type: 'Hackathons'. [Refined 2026-08-02] Sector forced to single label 'Industry' (was multi-sector: Energy, Agriculture, Maritime, Health, Industry, Education). Maturity inferred as 'Idea-stage' (hackathon-type).</t>
  </si>
  <si>
    <t xml:space="preserve">Youth AI hackathon (health, energy, smart city themes)</t>
  </si>
  <si>
    <t xml:space="preserve">Artificial Intelligence and Entrepreneurship Hackathon - Algeria 2026 (Sidi Abdellah)</t>
  </si>
  <si>
    <t xml:space="preserve">38-hour national hackathon held 6-8 January 2026 at the Sidi Abdellah Scientific and Technological Hub, organized by 'Meeting of the Youth of Algeria' with the Ministry of Youth and Ministry of Higher Education; themes covered AI for youth mental health, smart waste/renewable-energy technologies and intelligent urban infrastructure.</t>
  </si>
  <si>
    <t xml:space="preserve">2026-01-06</t>
  </si>
  <si>
    <t xml:space="preserve">Université de Khenchela</t>
  </si>
  <si>
    <t xml:space="preserve">https://www.univ-khenchela.dz/en/artificial-intelligence-and-entrepreneurship-hackathon-algeria-2026/</t>
  </si>
  <si>
    <t xml:space="preserve">Details taken from an official Algerian university announcement page including dates, themes and registration process. [Added 2026-08-05 expansion pass]</t>
  </si>
  <si>
    <t xml:space="preserve">National AI student competition</t>
  </si>
  <si>
    <t xml:space="preserve">Concours National d'Intelligence Artificielle (Semaine nationale de l'IA 2025, Constantine)</t>
  </si>
  <si>
    <t xml:space="preserve">National AI competition launched 23 November 2025 at Université Frères Mentouri Constantine 1 during Algeria's National Week of AI and Scientific Research, gathering 60 innovative AI projects from students, teachers and researchers across the country.</t>
  </si>
  <si>
    <t xml:space="preserve">2025-11-23</t>
  </si>
  <si>
    <t xml:space="preserve">Algérie Presse Service (APS)</t>
  </si>
  <si>
    <t xml:space="preserve">Primary (Government)</t>
  </si>
  <si>
    <t xml:space="preserve">https://www.aps.dz/fr/algerie/education-et-technologie/mic0nq2g-lancement-d-un-concours-national-d-intelligence-artificielle-avec-la-participation-de-60-projets-innovants</t>
  </si>
  <si>
    <t xml:space="preserve">Confirmed via APS (official state press agency) and corroborated by La Nouvelle République and Le Jour d'Algérie. [Added 2026-08-05 expansion pass]</t>
  </si>
  <si>
    <t xml:space="preserve">AI-for-Good Competition</t>
  </si>
  <si>
    <t xml:space="preserve">Djazairia Challenge 2025 - IA for Good</t>
  </si>
  <si>
    <t xml:space="preserve">AI-for-impact challenge positioning AI as a development lever for Africa, run with the Printemps numerique organisation.</t>
  </si>
  <si>
    <t xml:space="preserve">Printemps numerique</t>
  </si>
  <si>
    <t xml:space="preserve">https://www.printempsnumerique.ca/</t>
  </si>
  <si>
    <t xml:space="preserve">[Pending verification] Run partly by a Canadian partner. [Reclassified 2026-08-01] Old Sector: 'General' -&gt; New: 'Energy, Agriculture, Maritime, Health, Industry, Education'. Old Entity Type: 'Hub' -&gt; New Ecosystem Type: 'Hackathons'. [Refined 2026-08-02] Sector forced to single label 'Industry' (was multi-sector: Energy, Agriculture, Maritime, Health, Industry, Education). Maturity inferred as 'Idea-stage' (hackathon-type). [Web re-verification 2026-08-05] Status 'Not yet verified' -&gt; 'Verified'. Printemps numerique (the cited source org) published a dedicated article on 'Djazairia Challenge 2025 - IA for Good', confirming the AI-for-impact challenge and its framing of AI as a development lever for Africa. Confirming source: https://www.printempsnumerique.ca/nouvelles/article/djazairia-challenge-2025-ia-for-good-quand-lintelligence-artificielle-devient-un-levier-dimpact-pour-lafrique/</t>
  </si>
  <si>
    <t xml:space="preserve">Agriculture</t>
  </si>
  <si>
    <t xml:space="preserve">Agricultural AI hackathon</t>
  </si>
  <si>
    <t xml:space="preserve">Défi de l'Agriculture Hackathon (ENSIA x ENSA)</t>
  </si>
  <si>
    <t xml:space="preserve">Three-day national hackathon (2nd edition, June 2025, Algiers) organized by the National Higher School of AI (ENSIA) and the National Higher School of Agronomy with the Jardin d'Essai du Hamma, Mobilis and AI Grid; 125 students in 25 teams built agricultural AI prototypes and produced a first-of-its-kind local dataset of 180,000+ plant images.</t>
  </si>
  <si>
    <t xml:space="preserve">2025-06</t>
  </si>
  <si>
    <t xml:space="preserve">AllAfrica (APS)</t>
  </si>
  <si>
    <t xml:space="preserve">https://fr.allafrica.com/stories/202506260675.html</t>
  </si>
  <si>
    <t xml:space="preserve">APS state-agency report relayed by AllAfrica, including ENSIA director's 180,000-image dataset claim and minister Baddari's attendance. [Added 2026-08-05 expansion pass]</t>
  </si>
  <si>
    <t xml:space="preserve">Corporate student tech/AI hackathon</t>
  </si>
  <si>
    <t xml:space="preserve">Huawei Algérie Tech4Connect 2026 Hackathon</t>
  </si>
  <si>
    <t xml:space="preserve">First edition of Huawei Algeria's 'Tech4Connect' hackathon for university student teams; winning teams were awarded in March 2026, extending Huawei's ICT talent activities in Algeria beyond its ICT Academy and ICT Competition.</t>
  </si>
  <si>
    <t xml:space="preserve">2026-03-12</t>
  </si>
  <si>
    <t xml:space="preserve">L'Express DZ</t>
  </si>
  <si>
    <t xml:space="preserve">https://www.expressdz.dz/2026/03/12/huawei-algerie-recompense-les-equipes-etudiantes-laureates-du-premier-hackathon-tech4connect-2026/</t>
  </si>
  <si>
    <t xml:space="preserve">Not yet verified</t>
  </si>
  <si>
    <t xml:space="preserve">Single national press report found (article page could not be fully fetched); headline confirms first-edition awards by Huawei Algérie in March 2026. [Added 2026-08-05 expansion pass]</t>
  </si>
  <si>
    <t xml:space="preserve">Postal / fintech innovation hackathon</t>
  </si>
  <si>
    <t xml:space="preserve">InnovPost Hackathon (Algérie Poste)</t>
  </si>
  <si>
    <t xml:space="preserve">First national hackathon of state postal operator Algérie Poste, launched in November 2024 to crowdsource technological innovation (digital payments and postal services) from students and young developers, with a first-edition prize ceremony recognizing winning teams.</t>
  </si>
  <si>
    <t xml:space="preserve">2024-11-12</t>
  </si>
  <si>
    <t xml:space="preserve">Algérie Poste</t>
  </si>
  <si>
    <t xml:space="preserve">https://www.poste.dz/news/s/ceremonie-de-remise-des-prix-de-la-premiere-edition-de-lhackathon-innovpost-2024</t>
  </si>
  <si>
    <t xml:space="preserve">Official Algérie Poste press page for the INNOVPOST 2024 prize ceremony, corroborated by El Watan and Algérie Patriotique launch coverage (12 Nov 2024). [Added 2026-08-05 expansion pass]</t>
  </si>
  <si>
    <t xml:space="preserve">Technology Park Operator &amp; Incubation</t>
  </si>
  <si>
    <t xml:space="preserve">Incubator/Accelerator</t>
  </si>
  <si>
    <t xml:space="preserve">ANPT (Agence Nationale des Parcs Technologiques)</t>
  </si>
  <si>
    <t xml:space="preserve">State agency (est. 2004) operating the 92-ha Sidi Abdellah Technopark and regional technoparks; runs an incubator and the Virtual Incubation Program (VIP); hosts AI-focused events.</t>
  </si>
  <si>
    <t xml:space="preserve">Agency profile</t>
  </si>
  <si>
    <t xml:space="preserve">2004</t>
  </si>
  <si>
    <t xml:space="preserve">ANPT (official)</t>
  </si>
  <si>
    <t xml:space="preserve">https://www.anpt.dz/about</t>
  </si>
  <si>
    <t xml:space="preserve">Distinct from the Sidi Abdallah AI hubs (ANPT is the park operator).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</si>
  <si>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State Accelerator &amp; Fund</t>
  </si>
  <si>
    <t xml:space="preserve">Algeria Venture (A-Venture)</t>
  </si>
  <si>
    <t xml:space="preserve">First state-owned startup accelerator (est. Dec 2020) coaching and financing startups; agreement with SEAF created the $80M Algeria Innovation Funds; co-launched the AventureCloudz AI platform (2026).</t>
  </si>
  <si>
    <t xml:space="preserve">2023-01</t>
  </si>
  <si>
    <t xml:space="preserve">$80,000,000 (fund)</t>
  </si>
  <si>
    <t xml:space="preserve">Algerie Eco</t>
  </si>
  <si>
    <t xml:space="preserve">https://algerie-eco.com/2023/01/25/startups-algeria-venture-et-seaf-vont-creer-un-fonds-dinvestissement-dune-valeur-de-80-millions-de-dollars/</t>
  </si>
  <si>
    <t xml:space="preserve">Confirmed via dedicated research pass: real general entrepreneurship hub (Algiers, 2015) - not AI-specific, description should reflect that. Re-confirmed via dedicated research pass: Algeria's first private accelerator/coworking hub (2015) - correctly NOT categorized as an AI startup.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</si>
  <si>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Venture Studio</t>
  </si>
  <si>
    <t xml:space="preserve">DeepMinds</t>
  </si>
  <si>
    <t xml:space="preserve">Decentralised venture studio and co-lead of Algeria's National Venture Studio Programme, turning national research into market-ready deeptech/AI companies.</t>
  </si>
  <si>
    <t xml:space="preserve">Organization profile</t>
  </si>
  <si>
    <t xml:space="preserve">DeepMinds (official)</t>
  </si>
  <si>
    <t xml:space="preserve">https://deepminds.me/press/A-New-Era-for-Innovation-ASF-CERIST-DeepMinds-Unite-to-Build-1000-Tech-Ventures-Across-Algeria</t>
  </si>
  <si>
    <t xml:space="preserve">[Reclassified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</si>
  <si>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AI Incubator</t>
  </si>
  <si>
    <t xml:space="preserve">DjazairIA</t>
  </si>
  <si>
    <t xml:space="preserve">Algeria's first private incubator entirely dedicated to AI (launched Sept 2025); offers coworking, coaching, fundraising and a partnership with Toronto Metropolitan University's DMZ.</t>
  </si>
  <si>
    <t xml:space="preserve">2025-09-13</t>
  </si>
  <si>
    <t xml:space="preserve">DjazairIA (official)</t>
  </si>
  <si>
    <t xml:space="preserve">https://djazairia.com/incubateur/</t>
  </si>
  <si>
    <t xml:space="preserve">Confirmed via primary site + Canadian/Algerian press. [Reclassified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[Manual fix 2026-08-03, validation pass 2] Entity Type corrected from 'R&amp;D' to 'Incubator/Accelerator'. Was R&amp;D despite its own Sub-Sector explicitly saying 'AI Incubator'. [Audit 2026-08-05] Sector corrected: 'Education' -&gt; 'Industry'. [Audit 2026-08-05] Reason: generic AI incubator -&gt; Industry fallback, consistent with IncubMe/Leancubator [Audit 2026-08-05] Maturity corrected: 'Early' -&gt; 'Established'. [Audit 2026-08-05] Reason: structural type per maturity rule (was left unadjusted after manual entity-type fix)</t>
  </si>
  <si>
    <t xml:space="preserve">Private Incubation &amp; African Acceleration</t>
  </si>
  <si>
    <t xml:space="preserve">IncubMe</t>
  </si>
  <si>
    <t xml:space="preserve">Private Algiers incubator/accelerator; its AFRICA by IncubMe program supports African entrepreneurs across health, renewable energy, fintech, IoT, ICT and agriculture.</t>
  </si>
  <si>
    <t xml:space="preserve">Not specified</t>
  </si>
  <si>
    <t xml:space="preserve">IncubMe (official)</t>
  </si>
  <si>
    <t xml:space="preserve">https://incubme.com/</t>
  </si>
  <si>
    <t xml:space="preserve">Africa cohort cross-checked with Ilboursa; AI one of several verticals. [Reclassified 2026-08-01] Old Sector: 'General' -&gt; New: 'Agriculture'. Old Entity Type: 'Hub' -&gt; New Ecosystem Type: 'Incubator/Accelerator'. [Refined 2026-08-02] Sector set to 'Agriculture'. Maturity inferred as 'Established' (structural-type).</t>
  </si>
  <si>
    <t xml:space="preserve">Innovation Hub &amp; Open-Innovation Programs</t>
  </si>
  <si>
    <t xml:space="preserve">Leancubator</t>
  </si>
  <si>
    <t xml:space="preserve">Algiers innovation hub implementing national programs (Kick-Start with Algeria Venture and the Knowledge Economy Ministry), Algeria Startup Challenge and EU-funded incubation; ranked top Algerian incubator in 2025.</t>
  </si>
  <si>
    <t xml:space="preserve">2018</t>
  </si>
  <si>
    <t xml:space="preserve">Leancubator (official)</t>
  </si>
  <si>
    <t xml:space="preserve">https://leancubator.co/programs/</t>
  </si>
  <si>
    <t xml:space="preserve">Cross-checked with Challenge.ma coverage.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</si>
  <si>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Accelerator / Incubator</t>
  </si>
  <si>
    <t xml:space="preserve">Sylabs</t>
  </si>
  <si>
    <t xml:space="preserve">Algeria's first private startup accelerator and tech hub (founded Dec 2015 in Algiers), providing coworking, incubation and the DZ Acceleration Program.</t>
  </si>
  <si>
    <t xml:space="preserve">Company profile</t>
  </si>
  <si>
    <t xml:space="preserve">2015-12</t>
  </si>
  <si>
    <t xml:space="preserve">MENAbytes</t>
  </si>
  <si>
    <t xml:space="preserve">Secondary</t>
  </si>
  <si>
    <t xml:space="preserve">https://www.menabytes.com/slyabs-algeria-startup-accelerator/</t>
  </si>
  <si>
    <t xml:space="preserve">Official site lists incubation/acceleration programs.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</si>
  <si>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Data Center / Infrastructure</t>
  </si>
  <si>
    <t xml:space="preserve">Other initiatives</t>
  </si>
  <si>
    <t xml:space="preserve">AI Data Center in Oran (Akid Lotfi)</t>
  </si>
  <si>
    <t xml:space="preserve">Government-backed AI-dedicated data centre whose foundation stone was laid March 2025 in Oran, to be fitted with latest-generation GPUs.</t>
  </si>
  <si>
    <t xml:space="preserve">2025-03</t>
  </si>
  <si>
    <t xml:space="preserve">Data Center Dynamics</t>
  </si>
  <si>
    <t xml:space="preserve">https://www.datacenterdynamics.com/en/news/algerian-govt-breaks-ground-on-ai-data-center-in-oran/</t>
  </si>
  <si>
    <t xml:space="preserve">Oracle hosting role cross-checked via Data Center Dynamics. [Reclassified 2026-08-01] Old Sector: 'Enterprise AI'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</si>
  <si>
    <t xml:space="preserve">Maritime</t>
  </si>
  <si>
    <t xml:space="preserve">Customs &amp; port trade facilitation AI</t>
  </si>
  <si>
    <t xml:space="preserve">ALCES - Algerian Customs digital clearance &amp; AI risk-management system</t>
  </si>
  <si>
    <t xml:space="preserve">Digital customs information system launched in late 2023 by the Direction Générale des Douanes: online declarations and payments, real-time cargo tracking, and AI-based risk management that analyzes data in real time to detect anomalies and target suspicious import/export operations; over 120,000 declarations processed, with single-window expansion planned for 2025.</t>
  </si>
  <si>
    <t xml:space="preserve">Government program</t>
  </si>
  <si>
    <t xml:space="preserve">Maghreb Émergent</t>
  </si>
  <si>
    <t xml:space="preserve">https://www.maghrebemergent.com/les-douanes-algeriennes-accelerent-leur-transformation-numerique-et-devoilent-alces-un-systeme-qui-revolutionne-les-formalites-commerciales/</t>
  </si>
  <si>
    <t xml:space="preserve">Details read directly from Maghreb Émergent article; AI risk-targeting and 120,000+ declarations figure stated there. [Added 2026-08-05 expansion pass]</t>
  </si>
  <si>
    <t xml:space="preserve">Airport / transport AI</t>
  </si>
  <si>
    <t xml:space="preserve">Algiers Houari Boumediene Airport AI modernization (SGSIA)</t>
  </si>
  <si>
    <t xml:space="preserve">SGSIA (Algiers airport management company) announced on 14 September 2025 the integration of AI into airport operations - facial recognition, intelligent gates, body scanners, automated kiosks and contactless travel - with systems going operational in December 2025 to position Algiers as a regional hub.</t>
  </si>
  <si>
    <t xml:space="preserve">Corporate AI project</t>
  </si>
  <si>
    <t xml:space="preserve">2025-09-14</t>
  </si>
  <si>
    <t xml:space="preserve">https://www.maghrebemergent.com/technologie-de-pointe-laeroport-dalger-adopte-lintelligence-artificielle-pour-ameliorer-ses-services-en-2025/</t>
  </si>
  <si>
    <t xml:space="preserve">Based on public statements by SGSIA CEO Mokhtar Saïd Mediouni reported by Maghreb Émergent. [Added 2026-08-05 expansion pass]</t>
  </si>
  <si>
    <t xml:space="preserve">Sovereign AI/Cloud Developer Platform</t>
  </si>
  <si>
    <t xml:space="preserve">AventureCloudz</t>
  </si>
  <si>
    <t xml:space="preserve">Full-stack sovereign AI development platform launched 29 Apr 2026 by Djezzy, Algeria Venture and Taubyte; hosted on Djezzy cloud, offering serverless, databases, storage and AI workflows for Algerian developers.</t>
  </si>
  <si>
    <t xml:space="preserve">2026-04-29</t>
  </si>
  <si>
    <t xml:space="preserve">TechAfrica News</t>
  </si>
  <si>
    <t xml:space="preserve">https://techafricanews.com/2026/05/04/algeria-venture-djezzy-and-taubyte-launch-ai-development-platform-aventurecloudz/</t>
  </si>
  <si>
    <t xml:space="preserve">Cross-checked with official ac.dz and Telecompaper. [Reclassified 2026-08-01] Old Sector: 'Enterprise AI' -&gt; New: 'Industry'. Old Entity Type: 'Hub' -&gt; New Ecosystem Type: 'Other initiatives'. [Refined 2026-08-02] Sector set to 'Industry'. Maturity inferred as 'Early' (default for Startup/R&amp;D with no funding signal).</t>
  </si>
  <si>
    <t xml:space="preserve">Virtual education &amp; AI pedagogy center</t>
  </si>
  <si>
    <t xml:space="preserve">Centre de Technologie et d'Innovation en Systèmes d'Éducation Virtuelle (Sidi Abdallah)</t>
  </si>
  <si>
    <t xml:space="preserve">Algeria's first national center for technologies and innovation in virtual education systems, inaugurated 8 June 2026 at the Abdelhafid Ihaddaden scientific hub (Sidi Abdallah) by Higher Education Minister Kamel Baddari with Prof. Elias Zerhouni (project designer); provides AI-powered multilingual distance-learning platforms for a 'fourth-generation university' model.</t>
  </si>
  <si>
    <t xml:space="preserve">2026-06-08</t>
  </si>
  <si>
    <t xml:space="preserve">Algerie360 / We Are Tech Africa</t>
  </si>
  <si>
    <t xml:space="preserve">https://www.algerie360.com/education-et-ia-lalgerie-inaugure-son-premier-centre-dapprentissage-virtuel-a-sidi-abdallah/</t>
  </si>
  <si>
    <t xml:space="preserve">Cross-checked two independent press reports (Algerie360, We Are Tech Africa) plus Algérie Eco and El Watan coverage of the 8 June 2026 inauguration. [Added 2026-08-05 expansion pass]</t>
  </si>
  <si>
    <t xml:space="preserve">Telecom AI Adoption &amp; Partnerships</t>
  </si>
  <si>
    <t xml:space="preserve">Djezzy (AI initiatives)</t>
  </si>
  <si>
    <t xml:space="preserve">Telecom operator building AI capability: ENSIA partnership (Dec 2024) for AI projects, cloud launch, open-innovation deals with Algerian AI startups (AI Grid, Capture-Doc, Intadj) and the AventureCloudz platform.</t>
  </si>
  <si>
    <t xml:space="preserve">https://algerie-eco.com/2024/12/23/djezzy-sengage-dans-lere-de-lintelligence-artificielle-en-partenariat-avec-lensia/</t>
  </si>
  <si>
    <t xml:space="preserve">Cross-checked with TSA; covers Djezzy as corporate actor (ENSIA already in DB). [Reclassified 2026-08-01] Old Sector: 'Enterprise AI' -&gt; New: 'Industry'. Old Entity Type: 'Hub' -&gt; New Ecosystem Type: 'Other initiatives'. [Refined 2026-08-02] Sector set to 'Industry'. Maturity inferred as 'Early' (default for Startup/R&amp;D with no funding signal).</t>
  </si>
  <si>
    <t xml:space="preserve">Energy</t>
  </si>
  <si>
    <t xml:space="preserve">AI for oil &amp; gas - academia-industry link</t>
  </si>
  <si>
    <t xml:space="preserve">ENSIA-Sonatrach 'AI in Oil &amp; Gas' industry engagement</t>
  </si>
  <si>
    <t xml:space="preserve">Open-house partnership day (12 February 2024) at the National Higher School of AI (ENSIA) with Sonatrach, InnoDevData and Qareeb, where Sonatrach presented the future of AI applications in the oil and gas sector and recruited student engagement, formalizing an energy-sector pipeline for Algeria's AI school.</t>
  </si>
  <si>
    <t xml:space="preserve">Partnership announcement</t>
  </si>
  <si>
    <t xml:space="preserve">2024-02-12</t>
  </si>
  <si>
    <t xml:space="preserve">ENSIA</t>
  </si>
  <si>
    <t xml:space="preserve">https://www.ensia.edu.dz/fr/exploring-ai-applications-in-oil-and-gas-sector/</t>
  </si>
  <si>
    <t xml:space="preserve">Read directly on ENSIA's official website news page naming Sonatrach and the participating companies. [Added 2026-08-05 expansion pass]</t>
  </si>
  <si>
    <t xml:space="preserve">GPU cloud / AI compute infrastructure</t>
  </si>
  <si>
    <t xml:space="preserve">ICOSNET GPU as a Service</t>
  </si>
  <si>
    <t xml:space="preserve">Algerian ISP and cloud provider ICOSNET launched the country's first commercial on-demand 'GPU as a Service' offer (NVIDIA GPUs hosted in Algeria, April 2026), giving local startups, researchers and enterprises sovereign high-performance compute for AI training and inference.</t>
  </si>
  <si>
    <t xml:space="preserve">2026-04-27</t>
  </si>
  <si>
    <t xml:space="preserve">ICOSNET / IT Mag DZ</t>
  </si>
  <si>
    <t xml:space="preserve">https://icosnet.com.dz/gpu-as-a-service-algerie-icosnet/</t>
  </si>
  <si>
    <t xml:space="preserve">Official ICOSNET product pages corroborated by IT Mag DZ launch article of 27 April 2026. [Added 2026-08-05 expansion pass]</t>
  </si>
  <si>
    <t xml:space="preserve">Telecom Support for AI Ecosystem</t>
  </si>
  <si>
    <t xml:space="preserve">Ooredoo Algerie (AI initiatives)</t>
  </si>
  <si>
    <t xml:space="preserve">Telecom operator backing Algerian AI: partner of the RIPOST AI reputation-intelligence launch (May 2026), AI initiation workshops for children with startup TechMology, and AI-literacy events.</t>
  </si>
  <si>
    <t xml:space="preserve">Corporate press release</t>
  </si>
  <si>
    <t xml:space="preserve">2026-05-18</t>
  </si>
  <si>
    <t xml:space="preserve">Ooredoo Algeria (official)</t>
  </si>
  <si>
    <t xml:space="preserve">https://www.ooredoo.dz/fr/w/tout-sur-ooredoo/communiques-de-presse/ooredoo-accompagne-le-lancement-de-la-solution-algerienne-innovante-de-veille-et-d-intelligence-artificielle-ripost</t>
  </si>
  <si>
    <t xml:space="preserve">Official press release; cross-checked with LNR. [Reclassified 2026-08-01] Old Sector: 'Enterprise AI' -&gt; New: 'Maritime'. Old Entity Type: 'Hub' -&gt; New Ecosystem Type: 'Other initiatives'. [Refined 2026-08-02] Sector set to 'Industry'. Maturity inferred as 'Early' (default for Startup/R&amp;D with no funding signal).</t>
  </si>
  <si>
    <t xml:space="preserve">AI for water utility networks</t>
  </si>
  <si>
    <t xml:space="preserve">Qotra AI (SEAAL - Algiers water utility)</t>
  </si>
  <si>
    <t xml:space="preserve">AI application developed by the Société des Eaux et de l'Assainissement d'Alger (SEAAL) and presented at the SIEE-Pollutec 2026 water trade show, used to optimize water network management: improving distribution, detecting leaks and technical anomalies, and speeding field interventions alongside smart meters and remote monitoring.</t>
  </si>
  <si>
    <t xml:space="preserve">2026-06-03</t>
  </si>
  <si>
    <t xml:space="preserve">La Nouvelle République</t>
  </si>
  <si>
    <t xml:space="preserve">https://www.lnr-dz.com/2026/06/03/lalgerie-accelere-ses-projets-de-dessalement-et-de-gestion-intelligente-de-leau/</t>
  </si>
  <si>
    <t xml:space="preserve">Read directly in La Nouvelle République's June 2026 report on Algeria's smart water projects naming Qotra AI and SEAAL. [Added 2026-08-05 expansion pass]</t>
  </si>
  <si>
    <t xml:space="preserve">AI Application / Award</t>
  </si>
  <si>
    <t xml:space="preserve">Policy/Strategy</t>
  </si>
  <si>
    <t xml:space="preserve">AIDI - AI for Digital Inclusion (Algerie Telecom)</t>
  </si>
  <si>
    <t xml:space="preserve">AI system using citizen-generated data to map digital-inclusion gaps and support policy; won an ITU Certificate of Recognition at the WSIS Prizes 2026.</t>
  </si>
  <si>
    <t xml:space="preserve">2026-07</t>
  </si>
  <si>
    <t xml:space="preserve">Algerie Presse Service (APS)</t>
  </si>
  <si>
    <t xml:space="preserve">https://www.aps.dz/en/algeria/education-technology/mrdhviw0-algerie-telecom-wins-international-award-at-wsis-forum</t>
  </si>
  <si>
    <t xml:space="preserve">Award corroborated by ITU press release. [Reclassified 2026-08-01] Old Sector: 'General' -&gt; New: 'Maritime'. Old Entity Type: 'Policy' -&gt; New Ecosystem Type: 'Policy/Strategy'. [Refined 2026-08-02] Sector set to 'Industry'. Maturity inferred as 'Established' (structural-type).</t>
  </si>
  <si>
    <t xml:space="preserve">Legal Frameworks</t>
  </si>
  <si>
    <t xml:space="preserve">Algeria Startup Act (startup.dz)</t>
  </si>
  <si>
    <t xml:space="preserve">State program providing digital labeling portals, tax exemptions and direct subsidies.</t>
  </si>
  <si>
    <t xml:space="preserve">Guidelines</t>
  </si>
  <si>
    <t xml:space="preserve">2020-10-01</t>
  </si>
  <si>
    <t xml:space="preserve">Algerian Government</t>
  </si>
  <si>
    <t xml:space="preserve">https://www.startup.dz/</t>
  </si>
  <si>
    <t xml:space="preserve">Verified: startup.dz is the official national portal; Executive Decree 20-254 created the National Committee for Labelling Startups/Innovative Projects/Incubators; Finance Law 2020 grants labelled startups a 2-year exemption from TAP &amp; IBS plus VAT/reduced-customs relief. Corroborated by LaunchBase Africa (2,300+ startups labelled by 2024). [Reclassified 2026-08-01] Old Sector: 'Policy' -&gt; New: 'Industry'. Old Entity Type: 'Policy' -&gt; New Ecosystem Type: 'Policy/Strategy'. [Refined 2026-08-02] Sector set to 'Industry'. Maturity inferred as 'Established' (structural-type).</t>
  </si>
  <si>
    <t xml:space="preserve">Digital Government Agency</t>
  </si>
  <si>
    <t xml:space="preserve">Haut-Commissariat a la Numerisation (HCN)</t>
  </si>
  <si>
    <t xml:space="preserve">Presidential-level agency (Sept 2023) steering the national digital-transformation strategy 2025-2030, data governance and the DZair Digital Services portal.</t>
  </si>
  <si>
    <t xml:space="preserve">2023-09</t>
  </si>
  <si>
    <t xml:space="preserve">Algeria Invest</t>
  </si>
  <si>
    <t xml:space="preserve">https://algeriainvest.com/</t>
  </si>
  <si>
    <t xml:space="preserve">[Reclassified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</si>
  <si>
    <t xml:space="preserve">Law 18-07 (Data Protection Authority)</t>
  </si>
  <si>
    <t xml:space="preserve">Enacted law and administrative authority designed to regulate personal data use and ensure compliance.</t>
  </si>
  <si>
    <t xml:space="preserve">Regulatory law text</t>
  </si>
  <si>
    <t xml:space="preserve">2023</t>
  </si>
  <si>
    <t xml:space="preserve">2026-07-10</t>
  </si>
  <si>
    <t xml:space="preserve">Africa Business Intelligence</t>
  </si>
  <si>
    <t xml:space="preserve">https://www.africa-bi.com/fr/article/actualite/algerie-transformation-digitale-l-enjeu-de-la-securite-et-de-la-protection-des-donnees</t>
  </si>
  <si>
    <t xml:space="preserve">National Strategy</t>
  </si>
  <si>
    <t xml:space="preserve">National Artificial Intelligence Strategy 2024-2030</t>
  </si>
  <si>
    <t xml:space="preserve">Algeria's national AI strategy adopted by the National Scientific Council for AI (Dec 2024), built on six pillars and targeting AI at ~7% of GDP.</t>
  </si>
  <si>
    <t xml:space="preserve">Policy / Strategy</t>
  </si>
  <si>
    <t xml:space="preserve">Digital Policy Alert</t>
  </si>
  <si>
    <t xml:space="preserve">https://digitalpolicyalert.org/event/29116-algerian-government-announces-adoption-of-national-ai-strategy</t>
  </si>
  <si>
    <t xml:space="preserve">Budget and jobs targets cross-checked.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</si>
  <si>
    <t xml:space="preserve">National School of Artificial Intelligence (ENSIA)</t>
  </si>
  <si>
    <t xml:space="preserve">A specialized state academy established to stimulate academic research in AI and cultivate national engineering talent.</t>
  </si>
  <si>
    <t xml:space="preserve">Institution details</t>
  </si>
  <si>
    <t xml:space="preserve">2020</t>
  </si>
  <si>
    <t xml:space="preserve">[Reclassified 2026-08-01] Old Sector: 'Policy' -&gt; New: 'Education'. Old Entity Type: 'Policy' -&gt; New Ecosystem Type: 'Policy/Strategy'. [Refined 2026-08-02] Sector set to 'Education'. Maturity inferred as 'Established' (structural-type).</t>
  </si>
  <si>
    <t xml:space="preserve">Governance</t>
  </si>
  <si>
    <t xml:space="preserve">National Scientific Council for AI</t>
  </si>
  <si>
    <t xml:space="preserve">Public advisory council (est. June 2023) reporting to the Ministries of Higher Education and Knowledge Economy; chaired by Prof. Merouane Debbah.</t>
  </si>
  <si>
    <t xml:space="preserve">Government body</t>
  </si>
  <si>
    <t xml:space="preserve">2023-06</t>
  </si>
  <si>
    <t xml:space="preserve">ENSIA (official)</t>
  </si>
  <si>
    <t xml:space="preserve">https://www.ensia.edu.dz/scientific-council-of-artificial-intelligence/</t>
  </si>
  <si>
    <t xml:space="preserve">[Reclassified 2026-08-01] Old Sector: 'Policy' -&gt; New: 'Education'. Old Entity Type: 'Policy' -&gt; New Ecosystem Type: 'Policy/Strategy'. [Refined 2026-08-02] Sector set to 'Education'. Maturity inferred as 'Established' (structural-type). [Audit 2026-08-05] Sector corrected: 'Education' -&gt; 'Industry'. [Audit 2026-08-05] Reason: cross-cutting national AI governance body -&gt; Industry fallback</t>
  </si>
  <si>
    <t xml:space="preserve">National AI Vocational Training</t>
  </si>
  <si>
    <t xml:space="preserve">Programme National de Formation en Intelligence Artificielle</t>
  </si>
  <si>
    <t xml:space="preserve">National AI training program launched April 2026 at the El Rahmania institute (Algiers) by the Ministries of Vocational Training and Knowledge Economy/Startups, to feed startup creation and train talent on real AI use cases.</t>
  </si>
  <si>
    <t xml:space="preserve">2026-04</t>
  </si>
  <si>
    <t xml:space="preserve">https://algerie-eco.com/2026/04/26/formation-professionnelle-lancement-dun-programme-national-de-formation-en-intelligence-artificielle/</t>
  </si>
  <si>
    <t xml:space="preserve">[Reclassified 2026-08-01] Old Sector: 'Policy' -&gt; New: 'Industry'. Old Entity Type: 'Policy' -&gt; New Ecosystem Type: 'Policy/Strategy'. [Refined 2026-08-02] Sector set to 'Industry'. Maturity inferred as 'Established' (structural-type). [Audit 2026-08-05] Sector corrected: 'Industry' -&gt; 'Education'. [Audit 2026-08-05] Reason: national AI vocational-training program</t>
  </si>
  <si>
    <t xml:space="preserve">Smart ports &amp; port logistics</t>
  </si>
  <si>
    <t xml:space="preserve">Serport Smart Ports Programme (new Boumerdes central port &amp; Djen Djen expansion)</t>
  </si>
  <si>
    <t xml:space="preserve">Serport (Algeria's state port services group) announced a hyperconnected, decarbonized new central port on the Boumerdes coast (near Dellys/Cap Djinet) and a doubling of Djen Djen (Jijel) capacity with 20m draft, built around advanced digitalization as part of Algeria's 2035 regional logistics hub vision.</t>
  </si>
  <si>
    <t xml:space="preserve">2025-06-10</t>
  </si>
  <si>
    <t xml:space="preserve">ObservAlgérie</t>
  </si>
  <si>
    <t xml:space="preserve">https://observalgerie.com/2025/06/10/economie/lalgerie-va-construire-de-nouveaux-ports-intelligents/</t>
  </si>
  <si>
    <t xml:space="preserve">Press report of on-air statements by Serport CEO Abdelkrim Ghezal on Radio Algérienne Channel III. [Added 2026-08-05 expansion pass]</t>
  </si>
  <si>
    <t xml:space="preserve">Oil &amp; Gas Digitalization</t>
  </si>
  <si>
    <t xml:space="preserve">Sonatrach - Huawei Digitalization MoU</t>
  </si>
  <si>
    <t xml:space="preserve">State energy group Sonatrach signed an MoU with Huawei covering cloud computing, data centers, networks and cybersecurity for digital transformation; a separate Siemens Energy deal explores predictive maintenance.</t>
  </si>
  <si>
    <t xml:space="preserve">News item</t>
  </si>
  <si>
    <t xml:space="preserve">Radio Algerienne</t>
  </si>
  <si>
    <t xml:space="preserve">https://news.radioalgerie.dz/fr/node/47022</t>
  </si>
  <si>
    <t xml:space="preserve">[Pending verification] AI not explicitly named in the agreements (digitalization/cloud focus). CORRECTED framing + upgraded to Verified: confirmed via dedicated research pass this is a broad digital-transformation MoU (cloud, data centers, networks, cybersecurity) - AI is only one adjacent element (later fibre-sensing pipeline work), not the MoU's core scope. [Reclassified 2026-08-01] Old Sector: 'Enterprise AI' -&gt; New: 'Energy'. Old Entity Type: 'Policy' -&gt; New Ecosystem Type: 'Policy/Strategy'. [Refined 2026-08-02] Sector set to 'Energy'. Maturity inferred as 'Established' (structural-type).</t>
  </si>
  <si>
    <t xml:space="preserve">Cybersecurity</t>
  </si>
  <si>
    <t xml:space="preserve">R&amp;D</t>
  </si>
  <si>
    <t xml:space="preserve">AI &amp; Cybersecurity Start-up Cluster (Sidi Abdallah)</t>
  </si>
  <si>
    <t xml:space="preserve">University-centric incubator bridging the industry-academia gap to accelerate the commercialization of research.</t>
  </si>
  <si>
    <t xml:space="preserve">2026-04-21</t>
  </si>
  <si>
    <t xml:space="preserve">Africa AI News</t>
  </si>
  <si>
    <t xml:space="preserve">https://www.africaainews.com/p/algeria-launches-first-ai-and-cybersecurity-v2</t>
  </si>
  <si>
    <t xml:space="preserve">[Reclassified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[Audit 2026-08-05] Sector corrected: 'Education' -&gt; 'Industry'. [Audit 2026-08-05] Reason: cybersecurity startup cluster (horizontal tech) -&gt; Industry fallback</t>
  </si>
  <si>
    <t xml:space="preserve">Academic Infrastructure</t>
  </si>
  <si>
    <t xml:space="preserve">Abdelhafid Ihaddaden Scientific and Technology Hub</t>
  </si>
  <si>
    <t xml:space="preserve">An 87-hectare science park housing core institutions like ENSIA to coordinate computer science research.</t>
  </si>
  <si>
    <t xml:space="preserve">Hub overview</t>
  </si>
  <si>
    <t xml:space="preserve">Verified on MESRS + Arab News FR; distinct from ENSIA. [Reclassified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t>
  </si>
  <si>
    <t xml:space="preserve">AI Talent Competition</t>
  </si>
  <si>
    <t xml:space="preserve">Algerian Olympiad in AI (AOAI)</t>
  </si>
  <si>
    <t xml:space="preserve">National university AI olympiad under MESRS selecting/training students for the International Olympiad in AI; Algeria won 4 medals at the 2026 African AI Olympiad.</t>
  </si>
  <si>
    <t xml:space="preserve">2026</t>
  </si>
  <si>
    <t xml:space="preserve">Radio Algerie</t>
  </si>
  <si>
    <t xml:space="preserve">https://news.radioalgerie.dz/en/node/83863</t>
  </si>
  <si>
    <t xml:space="preserve">[Pending verification] ML/AI course content verified only via student-run guide. [Reclassified 2026-08-01] Old Sector: 'General' -&gt; New: 'Education'. Old Entity Type: 'Hub' -&gt; New Ecosystem Type: 'R&amp;D'. [Refined 2026-08-02] Sector set to 'Education'. Maturity inferred as 'Early' (default for Startup/R&amp;D with no funding signal).</t>
  </si>
  <si>
    <t xml:space="preserve">AI, Robotics &amp; Vision R&amp;D</t>
  </si>
  <si>
    <t xml:space="preserve">CDTA (Centre de Developpement des Technologies Avancees)</t>
  </si>
  <si>
    <t xml:space="preserve">State advanced-technology research center (Baba Hassen, Algiers, est. 1988); divisions research AI (face/speaker recognition, medical imaging), autonomous mobile-robot navigation, AR/VR, Industry 4.0 and biometrics.</t>
  </si>
  <si>
    <t xml:space="preserve">Research center profile</t>
  </si>
  <si>
    <t xml:space="preserve">1988</t>
  </si>
  <si>
    <t xml:space="preserve">CDTA (official)</t>
  </si>
  <si>
    <t xml:space="preserve">https://www.cdta.dz/en/research-and-technology/divisions/</t>
  </si>
  <si>
    <t xml:space="preserve">Official English site live; protocol confirmed on bu.edu.eg. [Reclassified 2026-08-01] Old Sector: 'General' -&gt; New: 'Health'. Old Entity Type: 'Hub' -&gt; New Ecosystem Type: 'R&amp;D'. [Refined 2026-08-02] Sector set to 'Health'. Maturity inferred as 'Early' (default for Startup/R&amp;D with no funding signal). [Audit 2026-08-05] Maturity corrected: 'Early' -&gt; 'Established'. [Audit 2026-08-05] Reason: institutional R&amp;D entity (state research center est. 1988); the blanket Early default under-stated organizational maturity</t>
  </si>
  <si>
    <t xml:space="preserve">CERIST</t>
  </si>
  <si>
    <t xml:space="preserve">Key scientific institution coordinating national university networks and research in basic scientific computing.</t>
  </si>
  <si>
    <t xml:space="preserve">Research profile</t>
  </si>
  <si>
    <t xml:space="preserve">[Reclassified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[Audit 2026-08-05] Maturity corrected: 'Early' -&gt; 'Established'. [Audit 2026-08-05] Reason: institutional R&amp;D entity (national research center since 1985); the blanket Early default under-stated organizational maturity</t>
  </si>
  <si>
    <t xml:space="preserve">Deeptech Acceleration</t>
  </si>
  <si>
    <t xml:space="preserve">CERIST Deeptech Innovation Hub</t>
  </si>
  <si>
    <t xml:space="preserve">GPU-powered acceleration hub launched by national research centre CERIST to convert research into scalable AI and cybersecurity ventures.</t>
  </si>
  <si>
    <t xml:space="preserve">iAfrica</t>
  </si>
  <si>
    <t xml:space="preserve">https://iafrica.com/algerias-cerist-launches-deeptech-innovation-hub-to-convert-research-into-scalable-ai-and-cybersecurity-ventures/</t>
  </si>
  <si>
    <t xml:space="preserve">Sub-initiative distinct from CERIST; cross-checked. [Reclassified 2026-08-01] Old Sector: 'Enterprise AI' -&gt; New: 'Energy, Agriculture, Maritime, Health, Industry, Education'. Old Entity Type: 'Hub' -&gt; New Ecosystem Type: 'R&amp;D'. [Refined 2026-08-02] Sector forced to single label 'Industry' (was multi-sector: Energy, Agriculture, Maritime, Health, Industry, Education). Maturity inferred as 'Early' (default for Startup/R&amp;D with no funding signal).</t>
  </si>
  <si>
    <t xml:space="preserve">Arabic NLP Research</t>
  </si>
  <si>
    <t xml:space="preserve">CRSTDLA (Centre de Recherche pour le Developpement de la Langue Arabe)</t>
  </si>
  <si>
    <t xml:space="preserve">Public research center (Algiers, est. 1991) under the Ministry of Higher Education dedicated to Arabic language sciences, with a division for automatic natural-language processing of Arabic.</t>
  </si>
  <si>
    <t xml:space="preserve">1991</t>
  </si>
  <si>
    <t xml:space="preserve">CRSTDLA (official)</t>
  </si>
  <si>
    <t xml:space="preserve">https://www.crstdla.dz/?page_id=11183</t>
  </si>
  <si>
    <t xml:space="preserve">NLP division cross-checked with DGRSDT listing. [Reclassified 2026-08-01] Old Sector: 'Enterprise AI'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(public research center est. 1991); the blanket Early default under-stated organizational maturity</t>
  </si>
  <si>
    <t xml:space="preserve">Algerian dialect NLP model</t>
  </si>
  <si>
    <t xml:space="preserve">DziriBERT (alger-ia)</t>
  </si>
  <si>
    <t xml:space="preserve">First pre-trained BERT language model dedicated to the Algerian dialect (Darja), trained on ~1.2M Algerian tweets mixing Arabic and Latin scripts; released openly in 2021 (arXiv:2109.12346) under the alger-ia collective and widely reused on Hugging Face, including later knowledge-distilled compact versions.</t>
  </si>
  <si>
    <t xml:space="preserve">Research output profile</t>
  </si>
  <si>
    <t xml:space="preserve">2021-09</t>
  </si>
  <si>
    <t xml:space="preserve">arXiv / Hugging Face</t>
  </si>
  <si>
    <t xml:space="preserve">https://huggingface.co/alger-ia/dziribert</t>
  </si>
  <si>
    <t xml:space="preserve">Verified via the official Hugging Face model card, GitHub repo (alger-ia/dziribert) and the arXiv paper. [Added 2026-08-05 expansion pass]</t>
  </si>
  <si>
    <t xml:space="preserve">University AI Lab</t>
  </si>
  <si>
    <t xml:space="preserve">ERIA - Equipe de Recherche en Intelligence Artificielle</t>
  </si>
  <si>
    <t xml:space="preserve">AI research team within the Laboratoire d'Informatique (LRI) at Badji Mokhtar - Annaba University.</t>
  </si>
  <si>
    <t xml:space="preserve">LRI, Universite Badji Mokhtar Annaba</t>
  </si>
  <si>
    <t xml:space="preserve">https://lri.univ-annaba.dz/?p=42</t>
  </si>
  <si>
    <t xml:space="preserve">[Reclassified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(long-standing university research team); the blanket Early default under-stated organizational maturity</t>
  </si>
  <si>
    <t xml:space="preserve">AI &amp; data science engineering degree</t>
  </si>
  <si>
    <t xml:space="preserve">ESI Sidi Bel Abbès - Spécialité IASD (Intelligence Artificielle et Sciences de Données)</t>
  </si>
  <si>
    <t xml:space="preserve">Three-year state engineering specialty at the École Supérieure en Informatique 08-Mai-1945 of Sidi Bel Abbès, approved by ministerial decree on 21 February 2023, training AI engineers, data scientists and big-data developers for banking, health, agriculture, energy and government.</t>
  </si>
  <si>
    <t xml:space="preserve">Degree program profile</t>
  </si>
  <si>
    <t xml:space="preserve">2023-02-21</t>
  </si>
  <si>
    <t xml:space="preserve">ESI Sidi Bel Abbès</t>
  </si>
  <si>
    <t xml:space="preserve">https://www.esi-sba.dz/fr/index.php/specialite-intelligence-artificielle-et-sciences-de-donnees-iasd/</t>
  </si>
  <si>
    <t xml:space="preserve">Official school page read directly, including the February 2023 approval decree and curriculum objectives. [Added 2026-08-05 expansion pass]</t>
  </si>
  <si>
    <t xml:space="preserve">AI engineering school curriculum</t>
  </si>
  <si>
    <t xml:space="preserve">ESTIN Béjaïa - Artificial Intelligence engineering track</t>
  </si>
  <si>
    <t xml:space="preserve">The École Supérieure en Sciences et Technologies de l'Informatique et du Numérique (ESTIN, Amizour-Béjaïa) trains computer-science engineers with a dedicated Artificial Intelligence specialization (published AI curriculum) and publishes applied AI research on data-scarce sovereign AI.</t>
  </si>
  <si>
    <t xml:space="preserve">Research lab profile</t>
  </si>
  <si>
    <t xml:space="preserve">2022</t>
  </si>
  <si>
    <t xml:space="preserve">ESTIN</t>
  </si>
  <si>
    <t xml:space="preserve">https://estin.dz/wp-content/uploads/2022/02/Intelligence-Artificielle.pdf</t>
  </si>
  <si>
    <t xml:space="preserve">Official ESTIN AI curriculum document and school website articles on AI research confirm the specialization. [Added 2026-08-05 expansion pass]</t>
  </si>
  <si>
    <t xml:space="preserve">AI-Assisted Medical Diagnosis Research</t>
  </si>
  <si>
    <t xml:space="preserve">GBM Biomedical Engineering Laboratory - Univ. Tlemcen</t>
  </si>
  <si>
    <t xml:space="preserve">Biomedical engineering department/laboratory at Abou Bekr Belkaid University Tlemcen; scope includes intelligent diagnostic systems, computer-assisted therapy, medical imaging and telemedicine.</t>
  </si>
  <si>
    <t xml:space="preserve">Laboratory profile</t>
  </si>
  <si>
    <t xml:space="preserve">Universite de Tlemcen (official)</t>
  </si>
  <si>
    <t xml:space="preserve">https://gbm.univ-tlemcen.dz/</t>
  </si>
  <si>
    <t xml:space="preserve">[Reclassified 2026-08-01] Old Sector: 'General' -&gt; New: 'Education'. Old Entity Type: 'Hub' -&gt; New Ecosystem Type: 'R&amp;D'. [Refined 2026-08-02] Sector set to 'Health'. Maturity inferred as 'Early' (default for Startup/R&amp;D with no funding signal). [Audit 2026-08-05] Maturity corrected: 'Early' -&gt; 'Established'. [Audit 2026-08-05] Reason: institutional R&amp;D entity (established university lab); the blanket Early default under-stated organizational maturity</t>
  </si>
  <si>
    <t xml:space="preserve">Corporate AI/ICT Skills Academies</t>
  </si>
  <si>
    <t xml:space="preserve">Huawei Algerie ICT Academy &amp; ICT Competition</t>
  </si>
  <si>
    <t xml:space="preserve">Huawei's Algerian university academies train students in AI, big data, cloud and 5G; a dedicated AI specialty launched in Algeria; Algerian students won the three grand prizes at the global Huawei ICT Competition 2025-26.</t>
  </si>
  <si>
    <t xml:space="preserve">2026-06</t>
  </si>
  <si>
    <t xml:space="preserve">ObservAlgerie</t>
  </si>
  <si>
    <t xml:space="preserve">https://observalgerie.com/2026/06/06/societe/concours-huawei-les-etudiants-algeriens-decrochent-3-grands-prix/</t>
  </si>
  <si>
    <t xml:space="preserve">Cross-checked with El Moudjahid and UMMTO academy page.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(academy operating for years across universities); the blanket Early default under-stated organizational maturity</t>
  </si>
  <si>
    <t xml:space="preserve">Insurtech</t>
  </si>
  <si>
    <t xml:space="preserve">Insurance Innovation and AI Hub (Sidi Abdallah)</t>
  </si>
  <si>
    <t xml:space="preserve">Academic and state sandbox coordinating the integration of AI models, claims automation, and actuarial machine learning. the hub is designed to stimulate innovation within the insurance sector by integrating AI applications, promoting applied research, and enabling experimentation with new digital solutions.</t>
  </si>
  <si>
    <t xml:space="preserve">2026-01-08</t>
  </si>
  <si>
    <t xml:space="preserve">Dzair AI News</t>
  </si>
  <si>
    <t xml:space="preserve">https://dzair-ai.org/community/news/2026-01-08_Insurance_AI_Innovation_Hub_Sidi_Abdallah</t>
  </si>
  <si>
    <t xml:space="preserve">[Reclassified 2026-08-01] Old Sector: 'Fintech'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[Audit 2026-08-05] Sector corrected: 'Education' -&gt; 'Industry'. [Audit 2026-08-05] Reason: insurtech vertical -&gt; Industry fallback, consistent with fintech convention</t>
  </si>
  <si>
    <t xml:space="preserve">ML &amp; AI Research Lab</t>
  </si>
  <si>
    <t xml:space="preserve">LIO - Laboratoire d'Informatique d'Oran (Univ. Oran 1)</t>
  </si>
  <si>
    <t xml:space="preserve">Computer-science laboratory (est. 2009) with four teams including AIR (Machine Learning, Artificial Intelligence and Reasoning) on ML, knowledge extraction and reasoning.</t>
  </si>
  <si>
    <t xml:space="preserve">University lab directory</t>
  </si>
  <si>
    <t xml:space="preserve">2009</t>
  </si>
  <si>
    <t xml:space="preserve">Universite Oran 1 (official)</t>
  </si>
  <si>
    <t xml:space="preserve">https://labos.univ-oran1.dz/gestion_labo/rechepage.php?Submit=Rechercher&amp;editreche=&amp;num_labo=53&amp;varcloses=Tous&amp;varcloses2=Rien&amp;varcloses3=Tous</t>
  </si>
  <si>
    <t xml:space="preserve">Official directory confirms AIR team. [Reclassified 2026-08-01] Old Sector: 'General' -&gt; New: 'Education'. Old Entity Type: 'Hub' -&gt; New Ecosystem Type: 'R&amp;D'. [Refined 2026-08-02] Sector set to 'Industry'. Maturity inferred as 'Early' (default for Startup/R&amp;D with no funding signal). [Audit 2026-08-05] Maturity corrected: 'Early' -&gt; 'Established'. [Audit 2026-08-05] Reason: institutional R&amp;D entity (lab est. 2009); the blanket Early default under-stated organizational maturity</t>
  </si>
  <si>
    <t xml:space="preserve">Academic AI Research Lab</t>
  </si>
  <si>
    <t xml:space="preserve">LMCS Laboratory - ESI Algiers</t>
  </si>
  <si>
    <t xml:space="preserve">Systems-design research laboratory (est. 1999) at ESI Algiers; six teams working on artificial intelligence, knowledge representation, classification, image processing and information systems.</t>
  </si>
  <si>
    <t xml:space="preserve">1999</t>
  </si>
  <si>
    <t xml:space="preserve">LMCS - ESI (official)</t>
  </si>
  <si>
    <t xml:space="preserve">https://lmcs.esi.dz/laboratoire/presentation/</t>
  </si>
  <si>
    <t xml:space="preserve">Official lab subdomain of esi.dz; AI among stated domains.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(lab est. 1999); the blanket Early default under-stated organizational maturity</t>
  </si>
  <si>
    <t xml:space="preserve">University Research Lab</t>
  </si>
  <si>
    <t xml:space="preserve">LRIA - AI Research Laboratory, USTHB</t>
  </si>
  <si>
    <t xml:space="preserve">Research laboratory (created 2000, dir. Prof. Habiba Drias) in the AI &amp; Data Science department at USTHB (Algiers); organises the AID doctoral symposium.</t>
  </si>
  <si>
    <t xml:space="preserve">Official page</t>
  </si>
  <si>
    <t xml:space="preserve">2000</t>
  </si>
  <si>
    <t xml:space="preserve">LRIA USTHB (official)</t>
  </si>
  <si>
    <t xml:space="preserve">https://lria.usthb.dz/AID2022-CFP</t>
  </si>
  <si>
    <t xml:space="preserve">Divisions page fetched; cross-checked with DGRSDT. [Reclassified 2026-08-01] Old Sector: 'Enterprise AI' -&gt; New: 'Health'. Old Entity Type: 'Hub' -&gt; New Ecosystem Type: 'R&amp;D'. [Refined 2026-08-02] Sector set to 'Health'. Maturity inferred as 'Early' (default for Startup/R&amp;D with no funding signal). [Audit 2026-08-05] Sector corrected: 'Health' -&gt; 'Education'. [Audit 2026-08-05] Reason: university research lab, no health focus in description [Audit 2026-08-05] Maturity corrected: 'Early' -&gt; 'Established'. [Audit 2026-08-05] Reason: institutional R&amp;D entity (lab created 2000); the blanket Early default under-stated organizational maturity</t>
  </si>
  <si>
    <t xml:space="preserve">University AI Center</t>
  </si>
  <si>
    <t xml:space="preserve">Maison de l'Intelligence Artificielle (House of AI)</t>
  </si>
  <si>
    <t xml:space="preserve">Network of university 'AI Houses'; the first was inaugurated at University Alger 1 (Feb 2023) as collaborative AI-popularisation and research spaces, since expanded.</t>
  </si>
  <si>
    <t xml:space="preserve">Government announcement</t>
  </si>
  <si>
    <t xml:space="preserve">2023-02</t>
  </si>
  <si>
    <t xml:space="preserve">Ministry of Higher Education &amp; Scientific Research (MESRS)</t>
  </si>
  <si>
    <t xml:space="preserve">https://www.mesrs.dz/</t>
  </si>
  <si>
    <t xml:space="preserve">AI/ML research focus confirmed on official site. [Reclassified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t>
  </si>
  <si>
    <t xml:space="preserve">University AI Master Program</t>
  </si>
  <si>
    <t xml:space="preserve">Master IFIA - Informatique Fondamentale et IA (Univ. Setif 1)</t>
  </si>
  <si>
    <t xml:space="preserve">Master program in fundamental computer science and artificial intelligence at Universite Ferhat Abbas Setif 1 (Faculty of Sciences).</t>
  </si>
  <si>
    <t xml:space="preserve">Program document</t>
  </si>
  <si>
    <t xml:space="preserve">2016</t>
  </si>
  <si>
    <t xml:space="preserve">Universite Setif 1 (official)</t>
  </si>
  <si>
    <t xml:space="preserve">https://www.univ-setif.dz/Pedagogie/Offres-formation-2016-2017/Sciences/Master/D03-MI-2009-Informatique-Fondamentale-Intelligence-Artificielle.pdf</t>
  </si>
  <si>
    <t xml:space="preserve">Full article read; announcement attributed to Minister Boukthir.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(master program running since 2016); the blanket Early default under-stated organizational maturity [Web re-verification 2026-08-05] Status 'Not yet verified' -&gt; 'Verified'. Official Setif 1 University pages confirm the Master 'Informatique Fondamentale et Intelligence Artificielle' (IFIA) at the Faculty of Sciences, including the cited program PDF and a faculty program page. Confirming source: https://fsciences.univ-setif.dz/GP/IFIA.html</t>
  </si>
  <si>
    <t xml:space="preserve">Master Systemes Informatiques Intelligents (USTHB)</t>
  </si>
  <si>
    <t xml:space="preserve">Master in intelligent information systems at USTHB's computer-science department (Algiers), covering AI, machine learning and intelligent systems; distinct from the LRIA laboratory.</t>
  </si>
  <si>
    <t xml:space="preserve">Program page</t>
  </si>
  <si>
    <t xml:space="preserve">USTHB Departement Informatique (official)</t>
  </si>
  <si>
    <t xml:space="preserve">http://deptinfo.usthb.dz/?q=node%2F15</t>
  </si>
  <si>
    <t xml:space="preserve">Cross-checked with fei.usthb.dz program listing.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master program); the blanket Early default under-stated organizational maturity</t>
  </si>
  <si>
    <t xml:space="preserve">AI &amp; Data Science Degree Programs</t>
  </si>
  <si>
    <t xml:space="preserve">Universite Constantine 2 - Faculte NTIC</t>
  </si>
  <si>
    <t xml:space="preserve">Dedicated ICT faculty offering Master programs in Data Science &amp; Artificial Intelligence (DSIA) and Data Science &amp; Intelligent Systems; hosts AI-active research labs (e.g. MISC).</t>
  </si>
  <si>
    <t xml:space="preserve">Master admissions page</t>
  </si>
  <si>
    <t xml:space="preserve">2024-06</t>
  </si>
  <si>
    <t xml:space="preserve">Faculte NTIC, Universite Constantine 2 (official)</t>
  </si>
  <si>
    <t xml:space="preserve">https://facntic.univ-constantine2.dz/2024/06/28/candidatures-master-2024-2025/</t>
  </si>
  <si>
    <t xml:space="preserve">Official faculty page lists both AI/data-science masters. [Reclassified 2026-08-01] Old Sector: 'General' -&gt; New: 'Education'. Old Entity Type: 'Hub' -&gt; New Ecosystem Type: 'R&amp;D'. [Refined 2026-08-02] Sector set to 'Industry'. Maturity inferred as 'Early' (default for Startup/R&amp;D with no funding signal). [Audit 2026-08-05] Sector corrected: 'Industry' -&gt; 'Education'. [Audit 2026-08-05] Reason: university faculty with degree programs [Audit 2026-08-05] Maturity corrected: 'Early' -&gt; 'Established'. [Audit 2026-08-05] Reason: institutional R&amp;D entity (established university faculty); the blanket Early default under-stated organizational maturity</t>
  </si>
  <si>
    <t xml:space="preserve">Sovereign GPU/AI Cloud</t>
  </si>
  <si>
    <t xml:space="preserve">Startup</t>
  </si>
  <si>
    <t xml:space="preserve">AI Grid</t>
  </si>
  <si>
    <t xml:space="preserve">Algerian startup building sovereign, energy-efficient GPU/AI cloud infrastructure (founded by an ex-Microsoft AI speech scientist); conventions signed with Etihad Groupe at ASC (Dec 2025); works with Djezzy on AI solutions.</t>
  </si>
  <si>
    <t xml:space="preserve">2025-12</t>
  </si>
  <si>
    <t xml:space="preserve">Algerie Patriotique</t>
  </si>
  <si>
    <t xml:space="preserve">https://algeriepatriotique.com/2025/12/09/cybersecurite-intelligence-artificielle-et-economie-bleue-des-conventions-signees-entre-startups-et-entreprises/</t>
  </si>
  <si>
    <t xml:space="preserve">[Reclassified 2026-08-01] Old Sector: 'Agritech' -&gt; New: 'Energy'. Old Entity Type: 'Startup' -&gt; New Ecosystem Type: 'Startup'. [Refined 2026-08-02] Sector set to 'Energy'. Maturity inferred as 'Early' (default for Startup/R&amp;D with no funding signal).</t>
  </si>
  <si>
    <t xml:space="preserve">Applied AI / RAG</t>
  </si>
  <si>
    <t xml:space="preserve">BADIS AI</t>
  </si>
  <si>
    <t xml:space="preserve">Sovereign-AI software editor at the Cyberparc of Sidi Abdellah (Algiers) offering OCR, RAG, AI agents and Arabic/Darija chatbots.</t>
  </si>
  <si>
    <t xml:space="preserve">BADIS AI (official)</t>
  </si>
  <si>
    <t xml:space="preserve">https://badis.ai/</t>
  </si>
  <si>
    <t xml:space="preserve">[Reclassified 2026-08-01] Old Sector: 'Enterprise AI' -&gt; New: 'Industry'. Old Entity Type: 'Startup' -&gt; New Ecosystem Type: 'Startup'. [Refined 2026-08-02] Sector set to 'Industry'. Maturity inferred as 'Early' (default for Startup/R&amp;D with no funding signal).</t>
  </si>
  <si>
    <t xml:space="preserve">Fire-safety robotics</t>
  </si>
  <si>
    <t xml:space="preserve">BK Fire (Icosium firefighting robot)</t>
  </si>
  <si>
    <t xml:space="preserve">Algiers-based fire-safety company (founded 2008, repositioned as deeptech) that developed 'Icosium', a locally built firefighting robot designed to operate in high-temperature environments too dangerous for humans, one of Algeria's few hardware-robotics ventures.</t>
  </si>
  <si>
    <t xml:space="preserve">Mag Startup</t>
  </si>
  <si>
    <t xml:space="preserve">https://www.magstartup.com/10-startups-algeriennes-a-suivre-en-2026-au-dela-du-bruit/</t>
  </si>
  <si>
    <t xml:space="preserve">Found in Mag Startup's 2026 Algerian startup roundup only; robot name and repositioning not yet cross-checked with a primary source. [Added 2026-08-05 expansion pass]</t>
  </si>
  <si>
    <t xml:space="preserve">Digital health - oncology patient services</t>
  </si>
  <si>
    <t xml:space="preserve">Docteur 360</t>
  </si>
  <si>
    <t xml:space="preserve">Digital health startup founded by Mehdi L. Sariak that simplifies medical appointment booking and care pathways, with a solution designed for cancer patients that won the Roche Algérie-Algeria Venture e-health award at Algiers Slush'D in January 2025.</t>
  </si>
  <si>
    <t xml:space="preserve">Algérie Eco / We Are Tech Africa</t>
  </si>
  <si>
    <t xml:space="preserve">Award and oncology focus from Algérie Eco; founder profile corroborated by We Are Tech Africa - AI is not yet documented as core to the product. [Added 2026-08-05 expansion pass]</t>
  </si>
  <si>
    <t xml:space="preserve">AI-Powered HR Matching</t>
  </si>
  <si>
    <t xml:space="preserve">Emploitic</t>
  </si>
  <si>
    <t xml:space="preserve">Algeria's leading online recruitment platform (founded 2005), now integrating AI matching algorithms between candidate skills and job requirements while limiting discriminatory bias.</t>
  </si>
  <si>
    <t xml:space="preserve">El Watan</t>
  </si>
  <si>
    <t xml:space="preserve">https://elwatan.dz/recrutement-en-ligne-emploitic-celebre-ses-20-ans/</t>
  </si>
  <si>
    <t xml:space="preserve">Added to fill Algeria startup-coverage gap identified after supervisor feedback. Cross-confirmed across 7+ independent sources (TechAfrica News, Developing Telecoms, El Watan, Maghreb Emergent) all agreeing on date, partners, and product details. [Reclassified 2026-08-01] Old Sector: 'Enterprise AI' -&gt; New: 'Industry'. Old Entity Type: 'Startup' -&gt; New Ecosystem Type: 'Startup'. [Refined 2026-08-02] Sector set to 'Industry'. Maturity inferred as 'Early' (default for Startup/R&amp;D with no funding signal).</t>
  </si>
  <si>
    <t xml:space="preserve">Computer Vision</t>
  </si>
  <si>
    <t xml:space="preserve">FarmAI (SevenG)</t>
  </si>
  <si>
    <t xml:space="preserve">Algerian agritech using AI computer vision and drones to automate wheat-rust detection; won 2nd prize ($100k) at Huawei Tech4Good 2023.</t>
  </si>
  <si>
    <t xml:space="preserve">$100,000</t>
  </si>
  <si>
    <t xml:space="preserve">https://www.wearetech.africa/en/fils-uk/solutions/seveng-advocates-for-smart-dynamic-and-efficient-farming-with-farmai</t>
  </si>
  <si>
    <t xml:space="preserve">Confirmed via dedicated research pass, with a caveat: reads more as a student/competition venture (2nd prize + People's Choice at Huawei Tech4Good, Jan 2023) than a scaled company. Prize amount conflicts across sources ($15,000 vs $100,000) - unresolved, flag pending a primary source. [Reclassified 2026-08-01] Old Sector: 'Agritech' -&gt; New: 'Agriculture'. Old Entity Type: 'Startup' -&gt; New Ecosystem Type: 'Startup'. [Refined 2026-08-02] Sector set to 'Agriculture'. Maturity inferred as 'Early' (funding&lt;1M ($100,000)).</t>
  </si>
  <si>
    <t xml:space="preserve">Arabic / Tamazight NLP</t>
  </si>
  <si>
    <t xml:space="preserve">Fentech (Tamatech)</t>
  </si>
  <si>
    <t xml:space="preserve">Algerian-French AI startup that, with Prof. Merouane Debbah, built the Hadretna LLM for Algerian Darija and Tamazight using ~2 billion crowdsourced tokens.</t>
  </si>
  <si>
    <t xml:space="preserve">https://www.middleeastainews.com/p/north-african-ai-large-language-model-data</t>
  </si>
  <si>
    <t xml:space="preserve">[Pending verification] Listicle source only. [Reclassified 2026-08-01] Old Sector: 'Enterprise AI' -&gt; New: 'Industry'. Old Entity Type: 'Startup' -&gt; New Ecosystem Type: 'Startup'. [Refined 2026-08-02] Sector set to 'Industry'. Maturity inferred as 'Early' (default for Startup/R&amp;D with no funding signal).</t>
  </si>
  <si>
    <t xml:space="preserve">NLP / LLM</t>
  </si>
  <si>
    <t xml:space="preserve">Hadretna</t>
  </si>
  <si>
    <t xml:space="preserve">Algerian AI project (Fentech, with Prof. Merouane Debbah) building an LLM for Algerian Darija and Tamazight; pre-trained on ~2 billion tokens.</t>
  </si>
  <si>
    <t xml:space="preserve">2024-08</t>
  </si>
  <si>
    <t xml:space="preserve">2026-07-26</t>
  </si>
  <si>
    <t xml:space="preserve">Company distinct from the Hadretna model; cross-checked. [Reclassified 2026-08-01] Old Sector: 'Enterprise AI' -&gt; New: 'Industry'. Old Entity Type: 'Startup' -&gt; New Ecosystem Type: 'Startup'. [Refined 2026-08-02] Sector set to 'Industry'. Maturity inferred as 'Early' (default for Startup/R&amp;D with no funding signal).</t>
  </si>
  <si>
    <t xml:space="preserve">AI Media/Brand Intelligence SaaS</t>
  </si>
  <si>
    <t xml:space="preserve">Intaj Digital - RIPOST</t>
  </si>
  <si>
    <t xml:space="preserve">Algerian startup whose RIPOST platform (launched 18 May 2026, fully developed and hosted in Algeria) uses proprietary AI for real-time monitoring of digital conversations, sentiment analysis, predictions and a dynamic Brand Score.</t>
  </si>
  <si>
    <t xml:space="preserve">La Nouvelle Republique</t>
  </si>
  <si>
    <t xml:space="preserve">https://www.lnr-dz.com/2026/05/21/ooredoo-accompagne-le-lancement-de-la-solution-algerienne-innovante-de-veille-et-dintelligence-artificielle-ripost/</t>
  </si>
  <si>
    <t xml:space="preserve">Pre-seed led by Janngo Capital with Digital Africa. [Reclassified 2026-08-01] Old Sector: 'Enterprise AI' -&gt; New: 'Industry'. Old Entity Type: 'Startup' -&gt; New Ecosystem Type: 'Startup'. [Refined 2026-08-02] Sector set to 'Industry'. Maturity inferred as 'Early' (default for Startup/R&amp;D with no funding signal).</t>
  </si>
  <si>
    <t xml:space="preserve">Edtech / Deeptech</t>
  </si>
  <si>
    <t xml:space="preserve">Growth</t>
  </si>
  <si>
    <t xml:space="preserve">LabLabee</t>
  </si>
  <si>
    <t xml:space="preserve">Algeria-founded edtech (2021) providing virtual hands-on labs for 5G, cloud and AI/telco-AI training; raised $3.4M seed (2024) led by Reach Capital.</t>
  </si>
  <si>
    <t xml:space="preserve">2024-09</t>
  </si>
  <si>
    <t xml:space="preserve">$3,400,000</t>
  </si>
  <si>
    <t xml:space="preserve">Wamda</t>
  </si>
  <si>
    <t xml:space="preserve">https://www.wamda.com/2024/09/algerian-edtech-lablabee-closes-34-million-seed-round</t>
  </si>
  <si>
    <t xml:space="preserve">[Reclassified 2026-08-01] Old Sector: 'General' -&gt; New: 'Education'. Old Entity Type: 'Startup' -&gt; New Ecosystem Type: 'Startup'. [Refined 2026-08-02] Sector set to 'Education'. Maturity inferred as 'Growth' (funding 1-5M ($3,400,000)).</t>
  </si>
  <si>
    <t xml:space="preserve">Legaltech AI</t>
  </si>
  <si>
    <t xml:space="preserve">Legal Doctrine</t>
  </si>
  <si>
    <t xml:space="preserve">Algiers legaltech (founded 2018) running Algeria's largest legal database (3M+ texts) with AI features including Themis-AI.</t>
  </si>
  <si>
    <t xml:space="preserve">Legal Doctrine (official)</t>
  </si>
  <si>
    <t xml:space="preserve">https://legal-doctrine.com/en/about</t>
  </si>
  <si>
    <t xml:space="preserve">Online expert consulting platform</t>
  </si>
  <si>
    <t xml:space="preserve">Moustachir</t>
  </si>
  <si>
    <t xml:space="preserve">Electronic consulting platform connecting businesses with certified experts; became the first Algerian startup listed on the Algiers Stock Exchange in early 2025, raising about 94 million DZD (~$724,000) in its IPO.</t>
  </si>
  <si>
    <t xml:space="preserve">Funding announcement</t>
  </si>
  <si>
    <t xml:space="preserve">$724,000</t>
  </si>
  <si>
    <t xml:space="preserve">Mag Startup / Algeria Tech News</t>
  </si>
  <si>
    <t xml:space="preserve">IPO amount reported consistently by two ecosystem aggregators (Mag Startup and algeriatech.news) but not yet checked against a primary bourse source. [Added 2026-08-05 expansion pass]</t>
  </si>
  <si>
    <t xml:space="preserve">Generative AI / Search</t>
  </si>
  <si>
    <t xml:space="preserve">Nojoom.ai</t>
  </si>
  <si>
    <t xml:space="preserve">Self-described first fully Algerian generative-AI platform, with an Arabic AI search engine (Thuraya), academic assistant (Suhail) and financial tool (Nitaq).</t>
  </si>
  <si>
    <t xml:space="preserve">Google AI for Developers</t>
  </si>
  <si>
    <t xml:space="preserve">https://ai.google.dev/competition/projects/nojoomai</t>
  </si>
  <si>
    <t xml:space="preserve">Confirmed via dedicated research pass: real Algerian Arabic generative-AI platform. [Reclassified 2026-08-01] Old Sector: 'General' -&gt; New: 'Industry'. Old Entity Type: 'Startup' -&gt; New Ecosystem Type: 'Startup'. [Refined 2026-08-02] Sector set to 'Education'. Maturity inferred as 'Early' (default for Startup/R&amp;D with no funding signal). [Audit 2026-08-05] Sector corrected: 'Education' -&gt; 'Industry'. [Audit 2026-08-05] Reason: generative-AI/search startup (horizontal) -&gt; Industry fallback</t>
  </si>
  <si>
    <t xml:space="preserve">Edge AI &amp; smart farming (IoT)</t>
  </si>
  <si>
    <t xml:space="preserve">Qareeb (Q-Farming)</t>
  </si>
  <si>
    <t xml:space="preserve">Algerian edge-computing/IoT startup (founded 2023) whose Q-Farming platform uses LoRa connectivity and on-device AI to monitor and automate farms from soil to harvest without cloud dependence; also offers Q-Vision surveillance and Q-Access biometric access control, serves 50+ companies and is in NVIDIA Inception, Intel Liftoff and Google for Startups programs.</t>
  </si>
  <si>
    <t xml:space="preserve">Qareeb (official site) / Arab News FR</t>
  </si>
  <si>
    <t xml:space="preserve">https://qareeb.io/</t>
  </si>
  <si>
    <t xml:space="preserve">Cross-checked official qareeb.io site with Arab News FR coverage of Algerian startups at LEAP 2025 and Algeria Startup Challenge 2024 Greentech win. [Added 2026-08-05 expansion pass]</t>
  </si>
  <si>
    <t xml:space="preserve">Digital health - medical appointments</t>
  </si>
  <si>
    <t xml:space="preserve">Sihatech</t>
  </si>
  <si>
    <t xml:space="preserve">Algerian digital-health startup digitizing physician schedules and online medical appointment booking nationwide; one of three winners of the Roche Algérie-Algeria Venture e-health innovation awards at the inaugural Algiers Slush'D (January 2025).</t>
  </si>
  <si>
    <t xml:space="preserve">Award win confirmed in Algérie Eco; platform description corroborated by Izzoran's Algerian e-health startup roundup - AI is not yet core to the product. [Added 2026-08-05 expansion pass]</t>
  </si>
  <si>
    <t xml:space="preserve">Intelligent transport &amp; data analytics</t>
  </si>
  <si>
    <t xml:space="preserve">Smart Chiked</t>
  </si>
  <si>
    <t xml:space="preserve">Algerian startup specializing in intelligent transport and data analytics that built a unified ticketing system tested with tram operator SETRAM, generating about 6 million DZD per month in additional revenue via real-time data transmission; exhibited at LEAP 2025 in Riyadh.</t>
  </si>
  <si>
    <t xml:space="preserve">Arab News FR</t>
  </si>
  <si>
    <t xml:space="preserve">https://www.arabnews.fr/node/500782/%C3%A9conomie</t>
  </si>
  <si>
    <t xml:space="preserve">Profiled by Arab News FR with SETRAM pilot revenue figures from company statements at LEAP 2025. [Added 2026-08-05 expansion pass]</t>
  </si>
  <si>
    <t xml:space="preserve">Oil &amp; gas drilling AI</t>
  </si>
  <si>
    <t xml:space="preserve">Smart Drilling Operations</t>
  </si>
  <si>
    <t xml:space="preserve">Labelled Algerian startup (Startup and Projet Innovant labels) that installs downhole sensors delivering real-time drilling data and predictive analytics to anticipate drilling obstacles and cut drilling time for the petroleum industry; showcased in the Algerian pavilion at LEAP 2025 in Riyadh.</t>
  </si>
  <si>
    <t xml:space="preserve">Profiled by Arab News FR from the official Algerian delegation at LEAP 2025. [Added 2026-08-05 expansion pass]</t>
  </si>
  <si>
    <t xml:space="preserve">Sovereign AI Platforms</t>
  </si>
  <si>
    <t xml:space="preserve">Symloop AI</t>
  </si>
  <si>
    <t xml:space="preserve">Algiers deep-tech AI company (founded 2012) building sovereign AI (NOOR platform: RAG, document AI, NL-to-SQL, Arabic NLP, multi-agent) for regulated industries.</t>
  </si>
  <si>
    <t xml:space="preserve">Symloop AI (official)</t>
  </si>
  <si>
    <t xml:space="preserve">https://symloop-ai.com/en/</t>
  </si>
  <si>
    <t xml:space="preserve">HR-tech SaaS (AI-driven payroll/HR)</t>
  </si>
  <si>
    <t xml:space="preserve">Talenteo</t>
  </si>
  <si>
    <t xml:space="preserve">Algerian HR-tech startup founded by Tarik Metnani and Louai Djaffer offering an AI-driven SaaS platform for HR and payroll management tailored to African SMEs (150+ companies, 10,000+ active users); raised a six-figure round led by Tunisia's 216 Capital in June 2025.</t>
  </si>
  <si>
    <t xml:space="preserve">2025-06-19</t>
  </si>
  <si>
    <t xml:space="preserve">https://www.wamda.com/2025/06/algerian-startup-talenteo-raises-figure-round-backed-216-capital</t>
  </si>
  <si>
    <t xml:space="preserve">Funding round, investor and metrics confirmed in Wamda's June 2025 report. [Added 2026-08-05 expansion pass]</t>
  </si>
  <si>
    <t xml:space="preserve">AI Education for Children (EdTech)</t>
  </si>
  <si>
    <t xml:space="preserve">Tarik Education Center</t>
  </si>
  <si>
    <t xml:space="preserve">Algerian edtech whose Tarik platform teaches AI and programming to children (ages 4-18) through games; won 1st prize at the Arab IoT &amp; AI Challenge at GITEX Global Dubai (Oct 2023).</t>
  </si>
  <si>
    <t xml:space="preserve">2023-10</t>
  </si>
  <si>
    <t xml:space="preserve">https://www.algerie-eco.com/2023/10/18/dubai-une-startup-algerienne-primee-au-concours-arabe-dans-liot-et-lai/</t>
  </si>
  <si>
    <t xml:space="preserve">[Pending verification] Listicle source only. [Reclassified 2026-08-01] Old Sector: 'General' -&gt; New: 'Education'. Old Entity Type: 'Startup' -&gt; New Ecosystem Type: 'Startup'. [Refined 2026-08-02] Sector set to 'Education'. Maturity inferred as 'Early' (default for Startup/R&amp;D with no funding signal).</t>
  </si>
  <si>
    <t xml:space="preserve">Cloud Infrastructure</t>
  </si>
  <si>
    <t xml:space="preserve">Taubyte</t>
  </si>
  <si>
    <t xml:space="preserve">Algerian startup (CEO Samy Fodil) specializing in open-source, Git-native cloud infrastructure automation. Powers AventureCloudz, a full-stack AI development platform launched April 2026 in partnership with telecom operator Djezzy and public accelerator Algeria Venture, positioned as a sovereign local alternative to foreign cloud providers (AWS, Azure, Google Cloud).</t>
  </si>
  <si>
    <t xml:space="preserve">2026-07-24</t>
  </si>
  <si>
    <t xml:space="preserve">Ecofin Agency</t>
  </si>
  <si>
    <t xml:space="preserve">https://www.ecofinagency.com/news-services/0205-55196-algerias-sovereign-cloud-push-targets-tech-jobs-for-young-developers</t>
  </si>
  <si>
    <t xml:space="preserve">Mobility Super-App</t>
  </si>
  <si>
    <t xml:space="preserve">TemTem</t>
  </si>
  <si>
    <t xml:space="preserve">Ride-hailing/delivery/e-commerce super-app (200,000+ clients, 4,000+ drivers across 21 wilayas) using AI for routing/logistics; raised $1.7M seed + $4M Series A.</t>
  </si>
  <si>
    <t xml:space="preserve">News / aggregator</t>
  </si>
  <si>
    <t xml:space="preserve">$4,000,000</t>
  </si>
  <si>
    <t xml:space="preserve">[Pending verification] AI-core classification via secondary sources. [Reclassified 2026-08-01] Old Sector: 'Fintech' -&gt; New: 'Industry'. Old Entity Type: 'Startup' -&gt; New Ecosystem Type: 'Startup'. [Refined 2026-08-02] Sector set to 'Industry'. Maturity inferred as 'Growth' (funding 1-5M ($4,000,000)). [Web re-verification 2026-08-05] Status 'Not yet verified' -&gt; 'Verified'. MENAbytes, Wamda, Disrupt Africa and Ventureburn all covered TemTem's $4M Series A (Sept 2019, then Algeria's largest), plus its later super-app pivot (temtem One). Confirming source: https://www.menabytes.com/temtem-series-a/ Correction noted: Funding figures date to 2019 (seed + $4M Series A), not recent; the cited Mag Startup 2026 blog is secondary.</t>
  </si>
  <si>
    <t xml:space="preserve">Travel-Tech</t>
  </si>
  <si>
    <t xml:space="preserve">VOLZ</t>
  </si>
  <si>
    <t xml:space="preserve">Travel-booking platform letting users book flights and pay in Algerian dinars; closed a $5M Series A (Dec 2025), first exit for the Algerian Startup Fund.</t>
  </si>
  <si>
    <t xml:space="preserve">$5,000,000</t>
  </si>
  <si>
    <t xml:space="preserve">Technext</t>
  </si>
  <si>
    <t xml:space="preserve">https://technext24.com/2025/12/15/volz-closes-5m-series-a-largest-algeria/</t>
  </si>
  <si>
    <t xml:space="preserve">[Pending verification] AI-core classification via secondary only. [Reclassified 2026-08-01] Old Sector: 'Fintech' -&gt; New: 'Industry'. Old Entity Type: 'Startup' -&gt; New Ecosystem Type: 'Startup'. [Refined 2026-08-02] Sector set to 'Industry'. Maturity inferred as 'Established' (funding&gt;=5M ($5,000,000)). [Web re-verification 2026-08-05] Status 'Not yet verified' -&gt; 'Verified'. Widely covered (Wamda, WeeTracker, Launch Base Africa, allAfrica, Technext) $5M Series A in Dec 2025, described as the largest Algerian startup round and the Algerian Startup Fund's first exit; flight booking in dinars confirmed. Confirming source: https://www.wamda.com/2025/12/algeria-volz-raises-5-million-landmark-funding-round</t>
  </si>
  <si>
    <t xml:space="preserve">Autonomous Logistics</t>
  </si>
  <si>
    <t xml:space="preserve">Yassir</t>
  </si>
  <si>
    <t xml:space="preserve">A regional super-application deploying geospatial AI and route optimization engines for carpooling and logistics.</t>
  </si>
  <si>
    <t xml:space="preserve">Company Profile</t>
  </si>
  <si>
    <t xml:space="preserve">$150,000,000</t>
  </si>
  <si>
    <t xml:space="preserve">Company website (Yassir)</t>
  </si>
  <si>
    <t xml:space="preserve">https://yassir.com/</t>
  </si>
  <si>
    <t xml:space="preserve">[Reclassified 2026-08-01] Old Sector: 'Enterprise AI' -&gt; New: 'Industry'. Old Entity Type: 'Startup' -&gt; New Ecosystem Type: 'Startup'. [Refined 2026-08-02] Sector set to 'Industry'. Maturity inferred as 'Established' (funding&gt;=5M ($150,000,000)).</t>
  </si>
  <si>
    <t xml:space="preserve">Egypt</t>
  </si>
  <si>
    <t xml:space="preserve">Machine Learning Community Event</t>
  </si>
  <si>
    <t xml:space="preserve">Deep Learning IndabaX Egypt</t>
  </si>
  <si>
    <t xml:space="preserve">Egyptian edition of the pan-African Deep Learning Indaba movement strengthening African machine learning; the 2025 edition was held 1-2 July 2025, hosted by the Academy of Scientific Research &amp; Technology (ASRT) with a local volunteer organizing team.</t>
  </si>
  <si>
    <t xml:space="preserve">2025-07-01</t>
  </si>
  <si>
    <t xml:space="preserve">https://deeplearningindaba.com/2025/indabax/egypt/</t>
  </si>
  <si>
    <t xml:space="preserve">Verified on the official Deep Learning Indaba website's IndabaX Egypt 2025 page. [Added 2026-08-05 expansion pass]</t>
  </si>
  <si>
    <t xml:space="preserve">AI Regulation Advocacy</t>
  </si>
  <si>
    <t xml:space="preserve">Masaar - Technology and Law Community</t>
  </si>
  <si>
    <t xml:space="preserve">Cairo-based technology-and-law research community that published 'Regulating Artificial Intelligence in Egypt: Proposed Standards and Principles', informing Egypt's AI regulation debate.</t>
  </si>
  <si>
    <t xml:space="preserve">Think tank / policy research</t>
  </si>
  <si>
    <t xml:space="preserve">Masaar (official)</t>
  </si>
  <si>
    <t xml:space="preserve">https://masaar.net/en/regulating-artificial-intelligence-in-egypt-proposed-standards-and-principles/</t>
  </si>
  <si>
    <t xml:space="preserve">Publication verified on Masaar's own site. [Reclassified 2026-08-01] Old Sector: 'Policy' -&gt; New: 'Industry'. Old Entity Type: 'Policy' -&gt; New Ecosystem Type: 'Policy/Strategy'. [Refined 2026-08-02] Sector set to 'Industry'. Maturity inferred as 'Established' (structural-type). [Manual fix 2026-08-03, validation pass 2] Entity Type corrected from 'Policy/Strategy' to 'Community/Association'. Was Policy/Strategy, but the entity's own name says 'Community' and it is an advocacy community, not a policy document or government body itself.</t>
  </si>
  <si>
    <t xml:space="preserve">National ICT/AI Exhibition</t>
  </si>
  <si>
    <t xml:space="preserve">Cairo ICT (AI Everywhere / AIDC / PAFIX)</t>
  </si>
  <si>
    <t xml:space="preserve">Egypt's national technology exhibition; 29th edition (Nov 16-19, 2025) themed 'AI Everywhere' with a record 161,000 visitors, hosting the AI &amp; Cloud Computing Conference (AIDC) and CBE-sponsored PAFIX.</t>
  </si>
  <si>
    <t xml:space="preserve">2025-11-16</t>
  </si>
  <si>
    <t xml:space="preserve">Egypt State Information Service</t>
  </si>
  <si>
    <t xml:space="preserve">https://sis.gov.eg/en/media-center/events/the-29th-edition-of-the-cairo-ict-exhibition-and-conference/</t>
  </si>
  <si>
    <t xml:space="preserve">Verified via SIS.gov.eg and cairoict.com.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</si>
  <si>
    <t xml:space="preserve">Energy AI Conference Track</t>
  </si>
  <si>
    <t xml:space="preserve">EGYPES Innovation &amp; AI Hub (Egypt Energy Show)</t>
  </si>
  <si>
    <t xml:space="preserve">Dedicated innovation and artificial intelligence hub within EGYPES (Egypt Energy Show) in Cairo, showcasing AI, digitalisation and decarbonisation technologies for the oil, gas and energy industry alongside the show's strategic and technical conferences.</t>
  </si>
  <si>
    <t xml:space="preserve">EGYPES (official site)</t>
  </si>
  <si>
    <t xml:space="preserve">https://www.egypes.com/innovation-ai-hub/</t>
  </si>
  <si>
    <t xml:space="preserve">Verified on the official EGYPES website's Innovation &amp; AI Hub page. [Added 2026-08-05 expansion pass]</t>
  </si>
  <si>
    <t xml:space="preserve">Academic AI Conference &amp; Hackathon</t>
  </si>
  <si>
    <t xml:space="preserve">ICIAAI 2026 - International Conference on Innovations and Applications of AI (Damietta University)</t>
  </si>
  <si>
    <t xml:space="preserve">First International Conference on Innovations and Applications of Artificial Intelligence, held 13-15 July 2026 at Damietta University by its Faculty of Computers and Artificial Intelligence with IEEE Egypt Section, including a student AI hackathon on industry, healthcare, education and agriculture challenges.</t>
  </si>
  <si>
    <t xml:space="preserve">2026-07-13</t>
  </si>
  <si>
    <t xml:space="preserve">Damietta University</t>
  </si>
  <si>
    <t xml:space="preserve">https://iciaai.du.edu.eg/hackathon</t>
  </si>
  <si>
    <t xml:space="preserve">Verified on the official Damietta University conference site (du.edu.eg domain). [Added 2026-08-05 expansion pass]</t>
  </si>
  <si>
    <t xml:space="preserve">Maritime &amp; Logistics AI Conference</t>
  </si>
  <si>
    <t xml:space="preserve">MARLOG 14 - International Maritime and Logistics Conference (AI edition)</t>
  </si>
  <si>
    <t xml:space="preserve">14th edition of AASTMT's annual international maritime and logistics conference, held 23-25 February 2025 in Alexandria under the theme of how artificial intelligence can change the maritime industry, with AI-in-ports case studies from Antwerp, Rotterdam, Rome and Valencia.</t>
  </si>
  <si>
    <t xml:space="preserve">2025-02-23</t>
  </si>
  <si>
    <t xml:space="preserve">ISL - Institute of Shipping Economics and Logistics</t>
  </si>
  <si>
    <t xml:space="preserve">https://www.isl.org/en/marlog-2025-how-ai-revolutionizing-maritime-industry</t>
  </si>
  <si>
    <t xml:space="preserve">Confirmed via ISL participant report and AASTMT/marlog.aast.edu conference pages and Egypt's Maritime Transport Sector news. [Added 2026-08-05 expansion pass]</t>
  </si>
  <si>
    <t xml:space="preserve">AI Industry Summit</t>
  </si>
  <si>
    <t xml:space="preserve">RiseUp AI Summit</t>
  </si>
  <si>
    <t xml:space="preserve">RiseUp (organizer of MENA's flagship Cairo entrepreneurship summit) held Egypt's first dedicated AI industry summit (Feb 4-6, 2025, Cairo Business Park): 2,000+ participants, 50 exhibitors, Google/Microsoft/Orange presence.</t>
  </si>
  <si>
    <t xml:space="preserve">Daily News Egypt</t>
  </si>
  <si>
    <t xml:space="preserve">https://www.dailynewsegypt.com/2025/02/06/riseup-ai-summit-concludes-announces-egypts-first-proptech-innovation-hub/</t>
  </si>
  <si>
    <t xml:space="preserve">First-edition AI summit verified via Daily News Egypt.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</si>
  <si>
    <t xml:space="preserve">Tech &amp; Investment Event</t>
  </si>
  <si>
    <t xml:space="preserve">Techne Summit Alexandria</t>
  </si>
  <si>
    <t xml:space="preserve">Alexandria-born international technology and investment summit (since 2015), flagship of Egypt Innovation Week with 45,000+ attendees, startup showcases and investor programs.</t>
  </si>
  <si>
    <t xml:space="preserve">Techne Summit (official)</t>
  </si>
  <si>
    <t xml:space="preserve">https://alex.technesummit.com/2025</t>
  </si>
  <si>
    <t xml:space="preserve">Algebra Ventures</t>
  </si>
  <si>
    <t xml:space="preserve">Egypt's leading tech-focused VC; second fund targets fintech, agritech, edtech, logistics and healthcare startups.</t>
  </si>
  <si>
    <t xml:space="preserve">Fund launch</t>
  </si>
  <si>
    <t xml:space="preserve">2021</t>
  </si>
  <si>
    <t xml:space="preserve">$90,000,000 (fund size)</t>
  </si>
  <si>
    <t xml:space="preserve">TechCrunch</t>
  </si>
  <si>
    <t xml:space="preserve">https://techcrunch.com/2021/04/06/after-its-first-54m-fund-algebra-ventures-launches-another-90m-fund-for-startups-in-egypt/</t>
  </si>
  <si>
    <t xml:space="preserve">$90M second fund; tech focus confirmed. [Reclassified 2026-08-01] Old Sector: 'General' -&gt; New: 'Agriculture'. Old Entity Type: 'Investor' -&gt; New Ecosystem Type: 'Funding'. [Refined 2026-08-02] Sector set to 'Agriculture'. Maturity inferred as 'Established' (structural-type).</t>
  </si>
  <si>
    <t xml:space="preserve">Beltone Venture Capital</t>
  </si>
  <si>
    <t xml:space="preserve">Beltone Holding VC arm (est. 2023) managing a $30M fund (with CI Venture Capital) for early-stage Egyptian tech startups.</t>
  </si>
  <si>
    <t xml:space="preserve">$30,000,000 (fund size)</t>
  </si>
  <si>
    <t xml:space="preserve">The Startup Scene</t>
  </si>
  <si>
    <t xml:space="preserve">https://thestartupscene.me/MenaEcosystems/Beltone-Launches-VC-Fund-to-Back-Egypt-s-Tech-Startups</t>
  </si>
  <si>
    <t xml:space="preserve">$30M early-stage tech fund confirmed.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</si>
  <si>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AI Talent Development</t>
  </si>
  <si>
    <t xml:space="preserve">Digital Egypt Builders Initiative (DEBI)</t>
  </si>
  <si>
    <t xml:space="preserve">MCIT flagship scholarship (Sept 2020) granting ~1,000 top graduates annually a state-funded professional master's in AI/data science, cybersecurity, robotics and digital arts.</t>
  </si>
  <si>
    <t xml:space="preserve">2020-09</t>
  </si>
  <si>
    <t xml:space="preserve">MCIT</t>
  </si>
  <si>
    <t xml:space="preserve">https://mcit.gov.eg/en/Human_Capacity/MCIT/Digital_Egypt_Builders_Initiative</t>
  </si>
  <si>
    <t xml:space="preserve">Verified on official MCIT page; Microsoft partnership corroborated. [Reclassified 2026-08-01] Old Sector: 'Policy' -&gt; New: 'Industry'. Old Entity Type: 'Policy' -&gt; New Ecosystem Type: 'Funding'. [Refined 2026-08-02] Sector set to 'Industry'. Maturity inferred as 'Established' (structural-type).</t>
  </si>
  <si>
    <t xml:space="preserve">DisrupTech Ventures</t>
  </si>
  <si>
    <t xml:space="preserve">~$36M Cairo fund focused on fintech and digital services; portfolio spans embedded finance, lending, insurtech, agritech and AI.</t>
  </si>
  <si>
    <t xml:space="preserve">https://www.disruptechventures.com/</t>
  </si>
  <si>
    <t xml:space="preserve">[Reclassified 2026-08-01] Old Sector: 'General' -&gt; New: 'Agriculture'. Old Entity Type: 'Investor' -&gt; New Ecosystem Type: 'Funding'. [Refined 2026-08-02] Sector set to 'Agriculture'. Maturity inferred as 'Established' (structural-type).</t>
  </si>
  <si>
    <t xml:space="preserve">Fintech Accelerator &amp; VC</t>
  </si>
  <si>
    <t xml:space="preserve">EFG EV Fintech</t>
  </si>
  <si>
    <t xml:space="preserve">JV (2017) between EFG Hermes' EFG Finance and Egypt Ventures; accelerator (up to EGP 1M with Falak) and VC arm (up to EGP 5M); Egypt's largest fintech portfolio incl. insurtech and regtech.</t>
  </si>
  <si>
    <t xml:space="preserve">2017</t>
  </si>
  <si>
    <t xml:space="preserve">EFG EV Fintech (official)</t>
  </si>
  <si>
    <t xml:space="preserve">https://www.efgev.com/about/</t>
  </si>
  <si>
    <t xml:space="preserve">Official site verified; JV corroborated by EFG Hermes report. [Reclassified 2026-08-01] Old Sector: 'Fintech'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</si>
  <si>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State-Backed Venture Capital</t>
  </si>
  <si>
    <t xml:space="preserve">Egypt Ventures</t>
  </si>
  <si>
    <t xml:space="preserve">State-seeded investment firm (est. 2017 by Ministry of Investment) investing in accelerators, VCs and startups; portfolio includes MNT-Halan and AI-enabled startups like Educatly.</t>
  </si>
  <si>
    <t xml:space="preserve">Egypt Ventures (official)</t>
  </si>
  <si>
    <t xml:space="preserve">https://egyptventures.com/</t>
  </si>
  <si>
    <t xml:space="preserve">Verified via official site; state backing confirmed. [Reclassified 2026-08-01] Old Sector: 'General' -&gt; New: 'Energy, Agriculture, Maritime, Health, Industry, Education'. Old Entity Type: 'Investor' -&gt; New Ecosystem Type: 'Funding'. [Refined 2026-08-02] Sector forced to single label 'Education' (was multi-sector: Energy, Agriculture, Maritime, Health, Industry, Education). Maturity inferred as 'Established' (structural-type). [Audit 2026-08-05] Sector corrected: 'Education' -&gt; 'Industry'. [Audit 2026-08-05] Reason: generic state VC, no education focus</t>
  </si>
  <si>
    <t xml:space="preserve">Flat6Labs</t>
  </si>
  <si>
    <t xml:space="preserve">Prominent seed investor and accelerator of technology startups operating structured programs across Cairo.</t>
  </si>
  <si>
    <t xml:space="preserve">Investment portfolio</t>
  </si>
  <si>
    <t xml:space="preserve">Company website (Flat6Labs)</t>
  </si>
  <si>
    <t xml:space="preserve">https://www.flat6labs.com/</t>
  </si>
  <si>
    <t xml:space="preserve">Cross-checked with Telquel; distinct from Flat6Labs Morocco row.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</si>
  <si>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Fintech-focused Venture Fund</t>
  </si>
  <si>
    <t xml:space="preserve">Nclude by Global Ventures</t>
  </si>
  <si>
    <t xml:space="preserve">Fintech fund launched by Banque Misr, National Bank of Egypt and Banque du Caire with Global Ventures; closed ~$110M.</t>
  </si>
  <si>
    <t xml:space="preserve">$110,000,000 (fund size)</t>
  </si>
  <si>
    <t xml:space="preserve">Banque Misr (official)</t>
  </si>
  <si>
    <t xml:space="preserve">https://www.banquemisr.com/en/Home/ABOUT-US/News/News0</t>
  </si>
  <si>
    <t xml:space="preserve">[Reclassified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</si>
  <si>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Early-Stage VC / Accelerator</t>
  </si>
  <si>
    <t xml:space="preserve">Openner</t>
  </si>
  <si>
    <t xml:space="preserve">US-based VC running an Egypt accelerator to invest in 50 Egyptian pre-seed/seed startups (checks up to $500k); portfolio spans Egypt, US and Africa.</t>
  </si>
  <si>
    <t xml:space="preserve">Egypt Today</t>
  </si>
  <si>
    <t xml:space="preserve">https://www.egypttoday.com/Article/3/91981/US-based-VC-Openner-to-launch-accelerator-invest-in-50</t>
  </si>
  <si>
    <t xml:space="preserve">Sawari Ventures</t>
  </si>
  <si>
    <t xml:space="preserve">Cairo-based VC investing in knowledge/innovation-based tech across North Africa, including deep tech and AI.</t>
  </si>
  <si>
    <t xml:space="preserve">https://sawariventures.com/</t>
  </si>
  <si>
    <t xml:space="preserve">AI for FinTech</t>
  </si>
  <si>
    <t xml:space="preserve">AI for FinTech Hackathon (CBE x DEBI)</t>
  </si>
  <si>
    <t xml:space="preserve">Central Bank of Egypt and MCIT launched an AI-for-FinTech hackathon under FinTech Egypt to develop DEBI students' fintech AI skills.</t>
  </si>
  <si>
    <t xml:space="preserve">Government program / competition</t>
  </si>
  <si>
    <t xml:space="preserve">2025-10-13</t>
  </si>
  <si>
    <t xml:space="preserve">Central Bank of Egypt</t>
  </si>
  <si>
    <t xml:space="preserve">https://www.cbe.org.eg/en/news-publications/news/2025/10/13/09/55/digital-egypt-builders-initiative</t>
  </si>
  <si>
    <t xml:space="preserve">Verified on official CBE newsroom. [Reclassified 2026-08-01] Old Sector: 'Fintech' -&gt; New: 'Industry'. Old Entity Type: 'Policy' -&gt; New Ecosystem Type: 'Policy/Strategy'. [Refined 2026-08-02] Sector set to 'Education'. Maturity inferred as 'Established' (structural-type). [Manual fix 2026-08-03] Entity Type corrected from 'Policy/Strategy' to 'Hackathons'. Was Policy/Strategy - the classifier matched the government-affiliation signal from 'Central Bank of Egypt' before recognizing the entity's own name and core described activity are both explicitly a hackathon. [Audit 2026-08-05] Sector corrected: 'Education' -&gt; 'Industry'. [Audit 2026-08-05] Reason: fintech-domain hackathon -&gt; Industry fallback [Audit 2026-08-05] Maturity corrected: 'Established' -&gt; 'Idea-stage'. [Audit 2026-08-05] Reason: hackathon-type per maturity rule</t>
  </si>
  <si>
    <t xml:space="preserve">AI for Climate/Mobility Hackathon</t>
  </si>
  <si>
    <t xml:space="preserve">C(4F)2 Hackathon (Dell Technologies x MCIT)</t>
  </si>
  <si>
    <t xml:space="preserve">Virtual AI hackathon (March 2021) organized by Dell Technologies with Egypt's MCIT, billed as a first-of-its-kind AI hackathon in Egypt, challenging students and professionals to build AI/data-science solutions reducing CO2 emissions from vehicles and traffic, with $12,000 in prizes.</t>
  </si>
  <si>
    <t xml:space="preserve">2021-03</t>
  </si>
  <si>
    <t xml:space="preserve">Egypt National AI Portal (ai.gov.eg)</t>
  </si>
  <si>
    <t xml:space="preserve">https://c4f2.ai.gov.eg/</t>
  </si>
  <si>
    <t xml:space="preserve">Hosted on Egypt's official government AI portal subdomain. [Added 2026-08-05 expansion pass]</t>
  </si>
  <si>
    <t xml:space="preserve">University AI Hackathon</t>
  </si>
  <si>
    <t xml:space="preserve">CU-AI Nexus 2025 Hackathon</t>
  </si>
  <si>
    <t xml:space="preserve">Cairo University-wide AI hackathon (August-October 2025) challenging undergraduates to build AI solutions for Egypt Vision 2030 / UN SDGs across four tracks (humanities, social sciences, healthcare &amp; life sciences, natural sciences &amp; engineering), with EGP 50,000 prizes, seed funding and incubation for winners.</t>
  </si>
  <si>
    <t xml:space="preserve">2025-10-18</t>
  </si>
  <si>
    <t xml:space="preserve">Cairo University</t>
  </si>
  <si>
    <t xml:space="preserve">https://ainexushack25.cu.edu.eg/</t>
  </si>
  <si>
    <t xml:space="preserve">Verified on the official Cairo University hackathon site (cu.edu.eg domain). [Added 2026-08-05 expansion pass]</t>
  </si>
  <si>
    <t xml:space="preserve">National AI &amp; IoT Innovation Program</t>
  </si>
  <si>
    <t xml:space="preserve">Egypt AI &amp; IoT Challenge</t>
  </si>
  <si>
    <t xml:space="preserve">Nationwide annual program (10th edition, 2025; originated 2016 as Egypt IoT League) run by ASRT, NTRA, IEEE TEMS Egypt and Misr El Kheir for students and startups, spanning ideation camps, mentorship and technical hackathons across 11 sectors including smart agriculture, healthcare, energy and fintech.</t>
  </si>
  <si>
    <t xml:space="preserve">Egypt AI &amp; IoT Challenge (official site)</t>
  </si>
  <si>
    <t xml:space="preserve">https://egypt.arabiotai.org/</t>
  </si>
  <si>
    <t xml:space="preserve">Verified on the official challenge website listing organizers ASRT/NTRA/IEEE TEMS/Misr El Kheir and the 2025 program timeline. [Added 2026-08-05 expansion pass]</t>
  </si>
  <si>
    <t xml:space="preserve">Corporate AI Hackathon</t>
  </si>
  <si>
    <t xml:space="preserve">Orange Egypt AI Hackathon 2025</t>
  </si>
  <si>
    <t xml:space="preserve">Two-day AI hackathon (8-9 February 2025, 'Where Ideas Spark') at Orange Egypt's Smart Village headquarters, gathering computer science and engineering students from Cairo University, Ain Shams, ESLSCA, AUC and GUC to build AI solutions with mentorship from Orange technology leaders.</t>
  </si>
  <si>
    <t xml:space="preserve">2025-02-08</t>
  </si>
  <si>
    <t xml:space="preserve">Orange Egypt</t>
  </si>
  <si>
    <t xml:space="preserve">https://www.orange.eg/en/about/media-center/press-kit/orange-egypt-launches-ai-hackathon-2025-862-event</t>
  </si>
  <si>
    <t xml:space="preserve">Verified via Orange Egypt's official press release; also covered by Egypt Today and The Fast Mode. [Added 2026-08-05 expansion pass]</t>
  </si>
  <si>
    <t xml:space="preserve">University-based Accelerator</t>
  </si>
  <si>
    <t xml:space="preserve">AUC Venture Lab (V-Lab)</t>
  </si>
  <si>
    <t xml:space="preserve">Egypt's first university-based accelerator (American University in Cairo) running fintech and startup programs.</t>
  </si>
  <si>
    <t xml:space="preserve">Accelerator profile</t>
  </si>
  <si>
    <t xml:space="preserve">Failory</t>
  </si>
  <si>
    <t xml:space="preserve">https://www.failory.com/startups/egypt-accelerators-incubators</t>
  </si>
  <si>
    <t xml:space="preserve">[Pending verification] Aggregator source. Confirmed via Egypt/Morocco landscape research pass: real AUC-affiliated venture lab. [Reclassified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[Manual fix 2026-08-03, validation pass 2] Entity Type corrected from 'R&amp;D' to 'Incubator/Accelerator'. Was R&amp;D despite its own Sub-Sector explicitly saying 'University-based Accelerator' - 'Lab' in the name is branding, not its functional category. [Audit 2026-08-05] Maturity corrected: 'Early' -&gt; 'Established'. [Audit 2026-08-05] Reason: structural type per maturity rule (was left unadjusted after manual entity-type fix)</t>
  </si>
  <si>
    <t xml:space="preserve">Ecosystem Event</t>
  </si>
  <si>
    <t xml:space="preserve">Ai Everything MEA (Egypt Edition)</t>
  </si>
  <si>
    <t xml:space="preserve">The Ai Everything MEA (Egypt Edition) hub acts as a cross-sector launchpad designed to accelerate collaborative AI research, startup scaling, and digital capacity-building across the Middle East and Africa. Aligned with Egypt's National AI Strategy, the hub focuses on key innovations like AI-as-a-Service (AIaaS) infrastructure, advanced data centers optimized for high-performance workloads, and predictive AI cybersecurity systems. Additionally, it features pioneering regional applications such as deep-tech solutions for enterprise digital supply chains, specialized biotech and digital healthcare diagnostics, and local large language models (LLMs)-cementing Cairo's role as a vital center for economic and societal transformation through AI.</t>
  </si>
  <si>
    <t xml:space="preserve">Exhibition Records</t>
  </si>
  <si>
    <t xml:space="preserve">2026-07-09</t>
  </si>
  <si>
    <t xml:space="preserve">Ai Everything MEA (event site)</t>
  </si>
  <si>
    <t xml:space="preserve">https://www.aieverything.com/</t>
  </si>
  <si>
    <t xml:space="preserve">[Reclassified 2026-08-01] Old Sector: 'General' -&gt; New: 'Health'. Old Entity Type: 'Hub' -&gt; New Ecosystem Type: 'Incubator/Accelerator'. [Refined 2026-08-02] Sector set to 'Health'. Maturity inferred as 'Established' (structural-type).</t>
  </si>
  <si>
    <t xml:space="preserve">AI/GenAI Startup Support</t>
  </si>
  <si>
    <t xml:space="preserve">Creativa AI Lab (CREATIVA Innovation Hubs)</t>
  </si>
  <si>
    <t xml:space="preserve">MCIT's CREATIVA network of innovation hubs (19+ governorates) launched the Creativa AI Lab to support innovators and startups in AI and generative AI.</t>
  </si>
  <si>
    <t xml:space="preserve">Government innovation hub</t>
  </si>
  <si>
    <t xml:space="preserve">CREATIVA (MCIT)</t>
  </si>
  <si>
    <t xml:space="preserve">https://creativa.gov.eg/about-creativa/</t>
  </si>
  <si>
    <t xml:space="preserve">[Pending verification] AI Lab launch needs a second source; distinct from Digital Egypt Innovation Centers. Confirmed via Egypt/Morocco landscape research pass: real ITIDA-run innovation hub network. [Reclassified 2026-08-01] Old Sector: 'General' -&gt; New: 'Maritime'. Old Entity Type: 'Hub' -&gt; New Ecosystem Type: 'Incubator/Accelerator'. [Refined 2026-08-02] Sector set to 'Industry'. Maturity inferred as 'Established' (structural-type).</t>
  </si>
  <si>
    <t xml:space="preserve">Startup Accelerator</t>
  </si>
  <si>
    <t xml:space="preserve">Falak Startups</t>
  </si>
  <si>
    <t xml:space="preserve">Cairo-based accelerator (backed by Egypt Ventures) providing seed funding and mentorship to early-stage startups.</t>
  </si>
  <si>
    <t xml:space="preserve">Listed as official Startup Tunisia partner.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</si>
  <si>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Social Innovation Incubator</t>
  </si>
  <si>
    <t xml:space="preserve">GESR (Misr El Kheir Foundation)</t>
  </si>
  <si>
    <t xml:space="preserve">Misr El Kheir's incubator and innovation lab for tech and social startups (water, energy, food, health, education): 6-9 month incubation, seed funding, prototyping labs; partners incl. Vodafone, IBM, UNDP.</t>
  </si>
  <si>
    <t xml:space="preserve">Incubator profile</t>
  </si>
  <si>
    <t xml:space="preserve">GESR (official)</t>
  </si>
  <si>
    <t xml:space="preserve">https://gesr.net/</t>
  </si>
  <si>
    <t xml:space="preserve">Official site verified; corroborated by Wamda and MENAbytes. [Reclassified 2026-08-01] Old Sector: 'General' -&gt; New: 'Health'. Old Entity Type: 'Hub' -&gt; New Ecosystem Type: 'Incubator/Accelerator'. [Refined 2026-08-02] Sector set to 'Agriculture'. Maturity inferred as 'Established' (structural-type). [Audit 2026-08-05] Sector corrected: 'Agriculture' -&gt; 'Industry'. [Audit 2026-08-05] Reason: multi-domain social incubator (water/energy/food/health/education) -&gt; Industry fallback</t>
  </si>
  <si>
    <t xml:space="preserve">Innovation Platform / Accelerator</t>
  </si>
  <si>
    <t xml:space="preserve">Plug and Play Egypt</t>
  </si>
  <si>
    <t xml:space="preserve">Plug and Play's Egypt innovation platform with ITIDA (Nov 2021, 3-year agreement): 60 growth-stage accelerations + 60 incubations; Aswan Bootcamps supported 61 Upper-Egypt startups ($3.7M secured by 2026).</t>
  </si>
  <si>
    <t xml:space="preserve">Innovation program</t>
  </si>
  <si>
    <t xml:space="preserve">2021-11</t>
  </si>
  <si>
    <t xml:space="preserve">PR Newswire</t>
  </si>
  <si>
    <t xml:space="preserve">https://www.prnewswire.com/news-releases/information-technology-industry-development-agency-itida-joins-forces-with-plug-and-play-to-launch-an-innovation-hub-in-egypt-301388221.html</t>
  </si>
  <si>
    <t xml:space="preserve">Launch release verified; outcomes corroborated by Ahram/Wamda. [Reclassified 2026-08-01] Old Sector: 'General' -&gt; New: 'Education'. Old Entity Type: 'Hub' -&gt; New Ecosystem Type: 'Incubator/Accelerator'. [Refined 2026-08-02] Sector set to 'Education'. Maturity inferred as 'Established' (structural-type). [Audit 2026-08-05] Sector corrected: 'Education' -&gt; 'Industry'. [Audit 2026-08-05] Reason: generic accelerator -&gt; Industry fallback</t>
  </si>
  <si>
    <t xml:space="preserve">Fintech Accelerator</t>
  </si>
  <si>
    <t xml:space="preserve">Startupbootcamp FinTech Cairo</t>
  </si>
  <si>
    <t xml:space="preserve">Cairo fintech accelerator run by Startupbootcamp with Pride Capital; first cohort of 10 startups (Demo Day May 2019), backed by Visa, IFC and GIZ.</t>
  </si>
  <si>
    <t xml:space="preserve">2019-05</t>
  </si>
  <si>
    <t xml:space="preserve">Fintech News Middle East</t>
  </si>
  <si>
    <t xml:space="preserve">https://fintechnews.ae/4355/fintechegypt/sbc-pride-fintech-cairo-startupbootcamp/</t>
  </si>
  <si>
    <t xml:space="preserve">Cohort and partners verified via Fintechnews and Ventureburn. [Reclassified 2026-08-01] Old Sector: 'Fintech' -&gt; New: 'Education'. Old Entity Type: 'Hub' -&gt; New Ecosystem Type: 'Incubator/Accelerator'. [Refined 2026-08-02] Sector set to 'Industry'. Maturity inferred as 'Established' (structural-type).</t>
  </si>
  <si>
    <t xml:space="preserve">Government ICT Incubator</t>
  </si>
  <si>
    <t xml:space="preserve">TIEC (Technology Innovation and Entrepreneurship Center)</t>
  </si>
  <si>
    <t xml:space="preserve">Government-backed (ITIDA/MCIT) incubator delivering mentorship and resources for early-stage ICT startups.</t>
  </si>
  <si>
    <t xml:space="preserve">Sramana Mitra</t>
  </si>
  <si>
    <t xml:space="preserve">https://www.sramanamitra.com/2025/09/16/startup-africa-egypts-startup-accelerator-ecosystem-a-deep-dive/</t>
  </si>
  <si>
    <t xml:space="preserve">[Pending verification] Secondary source. Confirmed via Egypt/Morocco landscape research pass: real government innovation body under MCIT.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</si>
  <si>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Incubation</t>
  </si>
  <si>
    <t xml:space="preserve">The AI Campus (New Cairo)</t>
  </si>
  <si>
    <t xml:space="preserve">500-acre AI Campus at Sumou Boulevard, New Cairo, launched via an MoU between Orange Egypt and real-estate developer Paragon | Adeer, in partnership with Plug and Play's global innovation network. Orange Egypt leads smart digital infrastructure (5G, IoT, intelligent communications). Includes the "AI 100" program, a four-year initiative to support the creation of 100 AI startups in Egypt by 2030 through training, technical workshops, and investment-readiness support.</t>
  </si>
  <si>
    <t xml:space="preserve">Corporate Briefing</t>
  </si>
  <si>
    <t xml:space="preserve">2026-04-20</t>
  </si>
  <si>
    <t xml:space="preserve">2026-07-17</t>
  </si>
  <si>
    <t xml:space="preserve">Company website (Orange Egypt)</t>
  </si>
  <si>
    <t xml:space="preserve">https://www.orange.eg/en/about/media-center/press-kit/orange-and-paragon-development-partnership-891-event</t>
  </si>
  <si>
    <t xml:space="preserve">[Reclassified 2026-08-01] Old Sector: 'General' -&gt; New: 'Maritime'. Old Entity Type: 'Hub' -&gt; New Ecosystem Type: 'Incubator/Accelerator'. [Refined 2026-08-02] Sector set to 'Industry'. Maturity inferred as 'Established' (structural-type).</t>
  </si>
  <si>
    <t xml:space="preserve">AI Medical Imaging (Breast Cancer)</t>
  </si>
  <si>
    <t xml:space="preserve">AI Breast Cancer Detection Platform (MCIT Applied Innovation Center x Baheya)</t>
  </si>
  <si>
    <t xml:space="preserve">First AI-powered breast cancer early-detection platform in the Middle East, launched August 2025 by Egypt's MCIT Applied Innovation Center with Baheya Foundation. Trained on 60,000+ Egyptian mammograms, it classifies abnormal growths with ~90% accuracy and is deployed at Baheya hospitals in Haram and Sheikh Zayed.</t>
  </si>
  <si>
    <t xml:space="preserve">2025-08-25</t>
  </si>
  <si>
    <t xml:space="preserve">https://techafricanews.com/2025/08/25/ai-in-healthcare-egypt-rolls-out-first-breast-cancer-detection-platform-in-middle-east/</t>
  </si>
  <si>
    <t xml:space="preserve">Launch by MCIT Minister Amr Talaat reported with deployment details, accuracy and dataset size; distinct initiative from the AIC entity already tracked. [Added 2026-08-05 expansion pass]</t>
  </si>
  <si>
    <t xml:space="preserve">Government Innovation Centers</t>
  </si>
  <si>
    <t xml:space="preserve">Digital Egypt Innovation Centers</t>
  </si>
  <si>
    <t xml:space="preserve">Network of government innovation centers (one per governorate) fostering youth skills in cutting-edge tech including AI.</t>
  </si>
  <si>
    <t xml:space="preserve">Government initiative</t>
  </si>
  <si>
    <t xml:space="preserve">AllAfrica</t>
  </si>
  <si>
    <t xml:space="preserve">https://allafrica.com/stories/202412310272.html</t>
  </si>
  <si>
    <t xml:space="preserve">[Reclassified 2026-08-01] Old Sector: 'General'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 [Web re-verification 2026-08-05] Status 'Not yet verified' -&gt; 'Verified'. Egypt's MCIT/TIEC officially operates a network of government innovation hubs across governorates ('Creativa Innovation Hubs' under the Digital Egypt initiative) building youth skills in emerging tech including AI; the row's description matches this program. Confirming source: https://mcit.gov.eg/en/Innovation/Boost_your_Business/Creativa_Innovation_Hubs Correction noted: Official program name is 'Creativa Innovation Hubs' (Digital Egypt initiative); 'Digital Egypt Innovation Centers' is not the formal name.</t>
  </si>
  <si>
    <t xml:space="preserve">Government Data &amp; Cloud / AI Infra</t>
  </si>
  <si>
    <t xml:space="preserve">Egypt Government Data and Cloud Computing Center (Ain Sokhna)</t>
  </si>
  <si>
    <t xml:space="preserve">First big-data and AI-processing government data center in Egypt/North Africa (23,500 sqm), supporting AI in government decision-making.</t>
  </si>
  <si>
    <t xml:space="preserve">2024-04-28</t>
  </si>
  <si>
    <t xml:space="preserve">State Information Service (SIS)</t>
  </si>
  <si>
    <t xml:space="preserve">https://www.sis.gov.eg/Story/192611?lang=en-us</t>
  </si>
  <si>
    <t xml:space="preserve">First gov data/cloud/AI center; launch date confirmed. [Reclassified 2026-08-01] Old Sector: 'Policy'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</si>
  <si>
    <t xml:space="preserve">Upstream Digital Data Platform</t>
  </si>
  <si>
    <t xml:space="preserve">Egypt Upstream Gateway (EUG)</t>
  </si>
  <si>
    <t xml:space="preserve">National digital subsurface data platform of the Ministry of Petroleum used to digitally promote oil and gas exploration investment, including hosting international bid rounds (e.g., 12 gas exploration blocks in September 2024); AI and advanced-analytics upgrades were announced in 2026.</t>
  </si>
  <si>
    <t xml:space="preserve">Egypt Oil &amp; Gas</t>
  </si>
  <si>
    <t xml:space="preserve">https://egyptoil-gas.com/features/digital-innovation-drives-egypts-energy-future/</t>
  </si>
  <si>
    <t xml:space="preserve">Described in Egypt Oil &amp; Gas digital innovation feature and referenced in 2026 ministry-SLB AI coverage as central to the AI strategy. [Added 2026-08-05 expansion pass]</t>
  </si>
  <si>
    <t xml:space="preserve">Cloud &amp; AI Region</t>
  </si>
  <si>
    <t xml:space="preserve">Huawei Cloud Cairo Region</t>
  </si>
  <si>
    <t xml:space="preserve">Huawei Cloud's public cloud region in Egypt went live in May 2024 as its first in North Africa, offering local data residency and AI services and accompanied by the release of Arabic large-language-model capabilities for the region.</t>
  </si>
  <si>
    <t xml:space="preserve">Company announcement</t>
  </si>
  <si>
    <t xml:space="preserve">2024-05-23</t>
  </si>
  <si>
    <t xml:space="preserve">Huawei</t>
  </si>
  <si>
    <t xml:space="preserve">https://www.huawei.com/en/news/2024/5/huawei-cloud-goes-live-in-egypt</t>
  </si>
  <si>
    <t xml:space="preserve">Official Huawei newsroom announcement; corroborated by Fierce Network and Intelligent CIO Africa coverage. [Added 2026-08-05 expansion pass]</t>
  </si>
  <si>
    <t xml:space="preserve">AI / Cloud Data Center Infrastructure</t>
  </si>
  <si>
    <t xml:space="preserve">Khazna-Benya Hyperscale Data Center (Maadi Technology Park)</t>
  </si>
  <si>
    <t xml:space="preserve">Agreement between UAE-based Khazna Data Centers and Egypt's Benya Group (November 2023) to build Egypt's first hyperscale data center in Maadi Technology Park, Cairo, with a total investment of $250M to serve cloud and AI workloads.</t>
  </si>
  <si>
    <t xml:space="preserve">2023-11-20</t>
  </si>
  <si>
    <t xml:space="preserve">$250,000,000</t>
  </si>
  <si>
    <t xml:space="preserve">Khazna Data Centers</t>
  </si>
  <si>
    <t xml:space="preserve">https://khaznadatacenters.com/press-release/khazna-data-centers-plans-to-enter-egypt-with-benya-group-to-set-up-the-countrys-first-hyper-scale-data-center-in-maadi-technology-park-with-a-total-investment-of-usd-250m/</t>
  </si>
  <si>
    <t xml:space="preserve">Official Khazna press release; corroborated by Telecom Review Africa and Intelligent CIO; funding figure is announced project investment. [Added 2026-08-05 expansion pass]</t>
  </si>
  <si>
    <t xml:space="preserve">Digital Skills &amp; Innovation Hub</t>
  </si>
  <si>
    <t xml:space="preserve">Orange Digital Center Egypt</t>
  </si>
  <si>
    <t xml:space="preserve">Free digital training and innovation hub inaugurated in Cairo in December 2021 by Orange Egypt and German Development Cooperation (GIZ) - the 7th Orange Digital Center in Africa/Middle East - hosting a coding school, FabLab and startup acceleration; a further center opened in Aswan in 2026.</t>
  </si>
  <si>
    <t xml:space="preserve">Company program</t>
  </si>
  <si>
    <t xml:space="preserve">2021-12-15</t>
  </si>
  <si>
    <t xml:space="preserve">https://www.dailynewsegypt.com/2021/12/15/orange-egypt-german-development-cooperation-inaugurate-7th-orange-digital-center-in-africa-and-the-middle-east/</t>
  </si>
  <si>
    <t xml:space="preserve">Confirmed by Daily News Egypt and Orange's official Africa newsroom press release; Aswan expansion reported by Ecofin Agency (Jan 2026). [Added 2026-08-05 expansion pass]</t>
  </si>
  <si>
    <t xml:space="preserve">Corporate AI Cloud Services</t>
  </si>
  <si>
    <t xml:space="preserve">TMG-Huawei AI Cloud Services Partnership</t>
  </si>
  <si>
    <t xml:space="preserve">Partnership announced in October 2024 between Talaat Moustafa Group and Huawei to offer AI cloud services for the first time in Egypt, bringing AI-enabled cloud capabilities to Egyptian enterprise and smart-city projects.</t>
  </si>
  <si>
    <t xml:space="preserve">2024-10</t>
  </si>
  <si>
    <t xml:space="preserve">https://www.huawei.com/en/news/2024/10/cloud-partnership-tmg-ceremony</t>
  </si>
  <si>
    <t xml:space="preserve">Announced in Huawei's official newsroom (signing ceremony coverage). [Added 2026-08-05 expansion pass]</t>
  </si>
  <si>
    <t xml:space="preserve">Shared Services AI &amp; Automation</t>
  </si>
  <si>
    <t xml:space="preserve">Vodafone Intelligent Solutions (_VOIS) Egypt</t>
  </si>
  <si>
    <t xml:space="preserve">Vodafone's largest shared-services arm (Cairo &amp; Alexandria, ~8,000+ employees); Egypt designated Vodafone's Center of Excellence for application development, robotics, automation and AI.</t>
  </si>
  <si>
    <t xml:space="preserve">Corporate center profile</t>
  </si>
  <si>
    <t xml:space="preserve">Cognitive Business News</t>
  </si>
  <si>
    <t xml:space="preserve">https://cognitivebusiness.news/vodafone-expands-its-egyptian-center-of-excellence-for-cx-ai-robotics-iot/</t>
  </si>
  <si>
    <t xml:space="preserve">Corroborated across multiple outlets and Vodafone careers pages. [Reclassified 2026-08-01] Old Sector: 'Enterprise AI' -&gt; New: 'Industry'. Old Entity Type: 'Hub' -&gt; New Ecosystem Type: 'Other initiatives'. [Refined 2026-08-02] Sector set to 'Industry'. Maturity inferred as 'Early' (default for Startup/R&amp;D with no funding signal).</t>
  </si>
  <si>
    <t xml:space="preserve">Petroleum AI Platform (JV)</t>
  </si>
  <si>
    <t xml:space="preserve">AIQ Egypt (proposed AI platform for the petroleum sector)</t>
  </si>
  <si>
    <t xml:space="preserve">Proposed joint venture between Egypt's Ministry of Petroleum and Abu Dhabi-based AI company AIQ (announced in talks July 2026) to create a specialized AI applications platform for Egypt's petroleum sector, combining Egypt Upstream Gateway data with AIQ tools such as ESP failure prediction up to 45 days in advance.</t>
  </si>
  <si>
    <t xml:space="preserve">2026-07-01</t>
  </si>
  <si>
    <t xml:space="preserve">https://egyptoil-gas.com/news/uaes-aiq-in-talks-to-launch-ai-platform-for-egypts-petroleum-sector/</t>
  </si>
  <si>
    <t xml:space="preserve">Reported by Egypt Oil &amp; Gas and corroborated by Oil and Gas Advancement; still at negotiation/announcement stage. [Added 2026-08-05 expansion pass]</t>
  </si>
  <si>
    <t xml:space="preserve">Youth AI Skills</t>
  </si>
  <si>
    <t xml:space="preserve">Digital Egypt Cubs Initiative (DECI)</t>
  </si>
  <si>
    <t xml:space="preserve">MCIT program (May 2022, $25M initial budget) training top school students (grades 7-11) in tracks including AI and robotics; MoUs with IBM, Google, Microsoft, Valeo, Huawei.</t>
  </si>
  <si>
    <t xml:space="preserve">2022-05</t>
  </si>
  <si>
    <t xml:space="preserve">https://mcit.gov.eg/en/Human_Capacity/MCIT/Digital_Egypt_Cubs_Initiative</t>
  </si>
  <si>
    <t xml:space="preserve">Verified on MCIT and SIS.gov.eg. [Reclassified 2026-08-01] Old Sector: 'Policy' -&gt; New: 'Education'. Old Entity Type: 'Policy' -&gt; New Ecosystem Type: 'Policy/Strategy'. [Refined 2026-08-02] Sector set to 'Education'. Maturity inferred as 'Established' (structural-type).</t>
  </si>
  <si>
    <t xml:space="preserve">National Tech Talent Program (AI tracks)</t>
  </si>
  <si>
    <t xml:space="preserve">Digital Egypt Pioneers Initiative (DEPI)</t>
  </si>
  <si>
    <t xml:space="preserve">MCIT fully-funded national training program preparing young Egyptians for digital jobs through tracks in artificial intelligence, data science, cloud computing and cybersecurity, delivered with industry partners; the program reached its fifth application round by 2026.</t>
  </si>
  <si>
    <t xml:space="preserve">2023-12</t>
  </si>
  <si>
    <t xml:space="preserve">Assiut University (announcing MCIT program)</t>
  </si>
  <si>
    <t xml:space="preserve">https://b.aun.edu.eg/dentistry/node/69443</t>
  </si>
  <si>
    <t xml:space="preserve">Confirmed via public-university announcement and MCIT's official DEPI page and social channels; distinct from DEBI/DECI already tracked. [Added 2026-08-05 expansion pass]</t>
  </si>
  <si>
    <t xml:space="preserve">Egypt National AI Strategy (MCIT)</t>
  </si>
  <si>
    <t xml:space="preserve">State strategy focused on capacity building, talent training and AI applications in the public sector.</t>
  </si>
  <si>
    <t xml:space="preserve">Strategic document (PDF)</t>
  </si>
  <si>
    <t xml:space="preserve">2021-07-01</t>
  </si>
  <si>
    <t xml:space="preserve">Egyptian Government (MCIT)</t>
  </si>
  <si>
    <t xml:space="preserve">https://ai.gov.eg/Egypt%20National%20AI%20Strategy-%20English.pdf</t>
  </si>
  <si>
    <t xml:space="preserve">Official government page on AI ecosystem priority.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</si>
  <si>
    <t xml:space="preserve">National AI Strategy</t>
  </si>
  <si>
    <t xml:space="preserve">Egypt National AI Strategy - 2nd Edition (2025-2030)</t>
  </si>
  <si>
    <t xml:space="preserve">Second edition unveiled Jan 2025; six pillars (governance, technology, data, infrastructure, ecosystem, capacity) targeting 7.7% ICT GDP contribution, 30,000 AI experts and 250+ AI startups by 2030.</t>
  </si>
  <si>
    <t xml:space="preserve">Government strategy</t>
  </si>
  <si>
    <t xml:space="preserve">2025-01</t>
  </si>
  <si>
    <t xml:space="preserve">Government of Egypt (ai.gov.eg)</t>
  </si>
  <si>
    <t xml:space="preserve">https://ai.gov.eg/SynchedFiles/en/Resources/AIstrategy%20English%2016-1-2025-1.pdf</t>
  </si>
  <si>
    <t xml:space="preserve">Re-sourced: original Cambridge academic-survey citation confirmed accurate but was 2nd-hand; swapped to the primary news source the paper itself cites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</si>
  <si>
    <t xml:space="preserve">Oil &amp; Gas AI Adoption</t>
  </si>
  <si>
    <t xml:space="preserve">Egypt Petroleum Ministry - SLB AI Collaboration</t>
  </si>
  <si>
    <t xml:space="preserve">July 2026 initiative by Egypt's Minister of Petroleum Karim Badawi with SLB (formerly Schlumberger) to deploy AI across exploration, production and operations, including AI upgrades to the Egypt Upstream Gateway, real-time energy monitoring and methane emissions detection.</t>
  </si>
  <si>
    <t xml:space="preserve">2026-07-06</t>
  </si>
  <si>
    <t xml:space="preserve">https://egyptoil-gas.com/news/petroleum-and-mineral-resources-minister-explores-ai-adoption-with-slb-formerly-schlumberger-to-boost-local-oil-production/</t>
  </si>
  <si>
    <t xml:space="preserve">Reported by sector journal Egypt Oil &amp; Gas; corroborated by Zawya, Arab Finance and Amwal Al Ghad. [Added 2026-08-05 expansion pass]</t>
  </si>
  <si>
    <t xml:space="preserve">Startup Ecosystem Financing Policy</t>
  </si>
  <si>
    <t xml:space="preserve">Egypt Startup Charter (EGP 50bn financing initiative)</t>
  </si>
  <si>
    <t xml:space="preserve">Government-backed charter announced in 2025 committing EGP 50 billion (~$1 billion) in unified financing to support 5,000 Egyptian startups - including the country's growing AI startup cohort - and to help 500 of them attract investments above $1M, alongside a unified legal definition of startups.</t>
  </si>
  <si>
    <t xml:space="preserve">2025-12-19</t>
  </si>
  <si>
    <t xml:space="preserve">TechCabal</t>
  </si>
  <si>
    <t xml:space="preserve">https://techcabal.com/2025/12/19/how-egypts-startup-ecosystem-fared-in-2025/</t>
  </si>
  <si>
    <t xml:space="preserve">Reported in TechCabal's 2025 Egypt ecosystem review with commitment figures and targets. [Added 2026-08-05 expansion pass]</t>
  </si>
  <si>
    <t xml:space="preserve">Responsible AI / Regulatory Sandbox</t>
  </si>
  <si>
    <t xml:space="preserve">Egypt-UNDP Responsible AI Governance Agreement</t>
  </si>
  <si>
    <t xml:space="preserve">Agreement with UNDP to promote responsible AI governance and establish a national AI sandbox, supporting the National AI Strategy.</t>
  </si>
  <si>
    <t xml:space="preserve">International cooperation agreement</t>
  </si>
  <si>
    <t xml:space="preserve">Tech Review Africa</t>
  </si>
  <si>
    <t xml:space="preserve">https://techreviewafrica.com/news/6237/egypt-undp-sign-agreement-to-promote-responsible-ai-governance-and-national-ai-sandbox</t>
  </si>
  <si>
    <t xml:space="preserve">Cross-verified with We Are Tech Africa (Huawei partnership).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 [Web re-verification 2026-08-05] Status 'Not yet verified' -&gt; 'Verified'. Egypt's State Information Service and UNDP Egypt confirm MCIT and UNDP signed an agreement (WSIS Geneva, July 2026) on responsible AI governance, capacity development and co-design of Egypt's AI Sandbox. Confirming source: https://sis.gov.eg/en/media-center/news/egypt-kenya-forge-stronger-digital-ties-egypt-signs-ai-governance-pact-with-undp/</t>
  </si>
  <si>
    <t xml:space="preserve">AI Ethics &amp; Governance</t>
  </si>
  <si>
    <t xml:space="preserve">Egyptian Charter for Responsible AI</t>
  </si>
  <si>
    <t xml:space="preserve">National ethics charter (v1.0, 2023) by the National Council for AI setting five principles (human-centered design, transparency, justice, accountability, security) via 13 general and 16 implementation guidelines.</t>
  </si>
  <si>
    <t xml:space="preserve">Policy document</t>
  </si>
  <si>
    <t xml:space="preserve">Egypt AI Portal (ai.gov.eg)</t>
  </si>
  <si>
    <t xml:space="preserve">https://ai.gov.eg/SynchedFiles/en/Resources/Egyptian%20Charter%20For%20Responsible%20AI.pdf</t>
  </si>
  <si>
    <t xml:space="preserve">Entrepreneurship Policy Research</t>
  </si>
  <si>
    <t xml:space="preserve">Entlaq</t>
  </si>
  <si>
    <t xml:space="preserve">Cairo think tank and consultancy (founded 2022) producing Egyptian Entrepreneurship Sector Diagnostics Reports with policy recommendations for government, investors and startups.</t>
  </si>
  <si>
    <t xml:space="preserve">Think tank profile</t>
  </si>
  <si>
    <t xml:space="preserve">Entlaq (official)</t>
  </si>
  <si>
    <t xml:space="preserve">https://entlaq.com/about-us.html</t>
  </si>
  <si>
    <t xml:space="preserve">Verified via official site and TIEC/Wamda coverage. [Reclassified 2026-08-01] Old Sector: 'Policy' -&gt; New: 'Health'. Old Entity Type: 'Policy' -&gt; New Ecosystem Type: 'Funding'. [Refined 2026-08-02] Sector set to 'Health'. Maturity inferred as 'Established' (structural-type). [Audit 2026-08-05] Sector corrected: 'Health' -&gt; 'Industry'. [Audit 2026-08-05] Reason: entrepreneurship policy think tank, no health link [Audit 2026-08-05] Entity Type corrected: 'Funding' -&gt; 'Policy/Strategy'. [Audit 2026-08-05] Reason: think tank producing policy research, not an investor</t>
  </si>
  <si>
    <t xml:space="preserve">Tech Development</t>
  </si>
  <si>
    <t xml:space="preserve">ITIDA</t>
  </si>
  <si>
    <t xml:space="preserve">Executive IT arm of the Ministry of Communications fostering AI startup incubation and digital capacity building.</t>
  </si>
  <si>
    <t xml:space="preserve">Government Portal</t>
  </si>
  <si>
    <t xml:space="preserve">Egyptian Government (ITIDA)</t>
  </si>
  <si>
    <t xml:space="preserve">https://itida.gov.eg/</t>
  </si>
  <si>
    <t xml:space="preserve">Karnak (formerly 'Arabic Brain')</t>
  </si>
  <si>
    <t xml:space="preserve">LLM trained on Egyptian and Arab data to ensure cultural relevance and data sovereignty.</t>
  </si>
  <si>
    <t xml:space="preserve">Official strategic document</t>
  </si>
  <si>
    <t xml:space="preserve">https://mcit.gov.eg/en/National_AI_Strategy</t>
  </si>
  <si>
    <t xml:space="preserve">[Reclassified 2026-08-01] Old Sector: 'Policy' -&gt; New: 'Maritime'. Old Entity Type: 'Policy' -&gt; New Ecosystem Type: 'Policy/Strategy'. [Refined 2026-08-02] Sector set to 'Industry'. Maturity inferred as 'Established' (structural-type).</t>
  </si>
  <si>
    <t xml:space="preserve">AI Skills Partnership</t>
  </si>
  <si>
    <t xml:space="preserve">MCIT-IBM AI Skills Agreement (SkillsBuild)</t>
  </si>
  <si>
    <t xml:space="preserve">Five-year MCIT-IBM agreement (May 2025) to train 100,000 Egyptians in AI by 2030 via IBM SkillsBuild, supporting the National AI Strategy 2025-2030.</t>
  </si>
  <si>
    <t xml:space="preserve">Government-corporate agreement</t>
  </si>
  <si>
    <t xml:space="preserve">2025-05</t>
  </si>
  <si>
    <t xml:space="preserve">IBM MEA Newsroom</t>
  </si>
  <si>
    <t xml:space="preserve">https://mea.newsroom.ibm.com/release-mcit-ibm-collaboration-egypt</t>
  </si>
  <si>
    <t xml:space="preserve">Verified via IBM official regional newsroom.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</si>
  <si>
    <t xml:space="preserve">AI Skills &amp; Applied AI</t>
  </si>
  <si>
    <t xml:space="preserve">Microsoft Egypt - MCIT AI Collaborations</t>
  </si>
  <si>
    <t xml:space="preserve">Microsoft-MCIT partnership applying AI in agriculture (2019) and within DEBI; later MoU to train 100,000 Egyptian youth and government employees in AI.</t>
  </si>
  <si>
    <t xml:space="preserve">2019-12-05</t>
  </si>
  <si>
    <t xml:space="preserve">Microsoft MEA News Center</t>
  </si>
  <si>
    <t xml:space="preserve">https://news.microsoft.com/en-xm/2019/12/05/mcit-partners-with-microsoft-to-implement-ai-solutions-in-the-agriculture-sector/</t>
  </si>
  <si>
    <t xml:space="preserve">Agriculture AI partnership verified on official Microsoft newsroom. [Reclassified 2026-08-01] Old Sector: 'Policy' -&gt; New: 'Agriculture'. Old Entity Type: 'Policy' -&gt; New Ecosystem Type: 'Policy/Strategy'. [Refined 2026-08-02] Sector set to 'Agriculture'. Maturity inferred as 'Established' (structural-type).</t>
  </si>
  <si>
    <t xml:space="preserve">AI &amp; Emerging Tech Training</t>
  </si>
  <si>
    <t xml:space="preserve">NTI-Huawei Egyptian Talents Academy (ETA)</t>
  </si>
  <si>
    <t xml:space="preserve">Academy run by the National Telecommunication Institute with Huawei to train ~18,000 young Egyptians over five years in AI, 5G, cloud, big data and security.</t>
  </si>
  <si>
    <t xml:space="preserve">Government-corporate training program</t>
  </si>
  <si>
    <t xml:space="preserve">https://mcit.gov.eg/en/Human_Capacity/NTI/NTI_Huawei_Egyptian_Talents_Academy</t>
  </si>
  <si>
    <t xml:space="preserve">Verified on MCIT and NTI official pages. [Reclassified 2026-08-01] Old Sector: 'Policy' -&gt; New: 'Education'. Old Entity Type: 'Policy' -&gt; New Ecosystem Type: 'Policy/Strategy'. [Refined 2026-08-02] Sector set to 'Industry'. Maturity inferred as 'Established' (structural-type). [Merge fix 2026-08] Sector re-corrected from 'Industry' back to 'Education' - this fix was applied in a prior round but this file was built from an earlier branch that predated it, causing a regression. Re-applied during merge.</t>
  </si>
  <si>
    <t xml:space="preserve">National Council of Artificial Intelligence</t>
  </si>
  <si>
    <t xml:space="preserve">Governmental body established to craft, structure, and oversee the execution of Egypt's national AI strategy.</t>
  </si>
  <si>
    <t xml:space="preserve">Government Policy Document</t>
  </si>
  <si>
    <t xml:space="preserve">2019</t>
  </si>
  <si>
    <t xml:space="preserve">Cambridge University Press (Data &amp; Policy journal)</t>
  </si>
  <si>
    <t xml:space="preserve">Secondary (Academic Survey)</t>
  </si>
  <si>
    <t xml:space="preserve">https://www.cambridge.org/core/journals/data-and-policy/article/exploring-ai-governance-in-the-middle-east-and-north-africa-mena-region-gaps-efforts-and-initiatives/867858AA465EEB06B5C43FF7048D8652</t>
  </si>
  <si>
    <t xml:space="preserve">Fetched and confirmed: paper states Egypt established National Council for AI in 2019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</si>
  <si>
    <t xml:space="preserve">AI Governance Review</t>
  </si>
  <si>
    <t xml:space="preserve">OECD Artificial Intelligence Review of Egypt</t>
  </si>
  <si>
    <t xml:space="preserve">OECD country review mapping Egypt's AI governance and implementation of the OECD AI Principles (Egypt was the first Arab/African adherent, 2021).</t>
  </si>
  <si>
    <t xml:space="preserve">Policy report</t>
  </si>
  <si>
    <t xml:space="preserve">OECD</t>
  </si>
  <si>
    <t xml:space="preserve">https://www.oecd.org/en/publications/oecd-artificial-intelligence-review-of-egypt_2a282726-en.html</t>
  </si>
  <si>
    <t xml:space="preserve">Official PDF on government AI portal; catalogued by OECD.AI.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</si>
  <si>
    <t xml:space="preserve">AI in Higher Education Regulation</t>
  </si>
  <si>
    <t xml:space="preserve">SCU Guidelines for AI in Higher Education &amp; Research</t>
  </si>
  <si>
    <t xml:space="preserve">Supreme Council of Universities approved (30 Sept 2025) Egypt's first national regulatory reference for AI use in universities, mandating permanent AI-ethics committees in each university.</t>
  </si>
  <si>
    <t xml:space="preserve">Regulatory guidance</t>
  </si>
  <si>
    <t xml:space="preserve">2025-09-30</t>
  </si>
  <si>
    <t xml:space="preserve">Al-Fanar Media</t>
  </si>
  <si>
    <t xml:space="preserve">https://al-fanarmedia.org/2025/10/egypt-issues-guidelines-on-use-of-ai-in-higher-education-research/</t>
  </si>
  <si>
    <t xml:space="preserve">Verified via Al-Fanar Media; SCU is the issuing body. [Reclassified 2026-08-01] Old Sector: 'Policy' -&gt; New: 'Education'. Old Entity Type: 'Policy' -&gt; New Ecosystem Type: 'Policy/Strategy'. [Refined 2026-08-02] Sector set to 'Education'. Maturity inferred as 'Established' (structural-type).</t>
  </si>
  <si>
    <t xml:space="preserve">Canal Operations AI</t>
  </si>
  <si>
    <t xml:space="preserve">Suez Canal Authority AI Center</t>
  </si>
  <si>
    <t xml:space="preserve">Center for artificial intelligence announced within the Suez Canal Authority's development strategy to support decision-making and expand advanced technologies in modernizing and mechanizing canal operations across the Authority's disciplines.</t>
  </si>
  <si>
    <t xml:space="preserve">2021-12</t>
  </si>
  <si>
    <t xml:space="preserve">https://www.egypttoday.com/Article/3/110539/Development-strategy-of-Suez-Canal-revealed-AI-center-to-be</t>
  </si>
  <si>
    <t xml:space="preserve">Reported by Egypt Today from the SCA development strategy announcement; still announcement-stage with no implementation details found. [Added 2026-08-05 expansion pass]</t>
  </si>
  <si>
    <t xml:space="preserve">AI &amp; Robotics Education Lab</t>
  </si>
  <si>
    <t xml:space="preserve">AASTMT-RobotLAB Artificial Intelligence Lab</t>
  </si>
  <si>
    <t xml:space="preserve">Partnership between the Arab Academy for Science, Technology &amp; Maritime Transport and US-based RobotLAB to launch what was billed as the first artificial intelligence lab of its kind in the MENA region, equipping AASTMT campuses with AI and robotics education infrastructure.</t>
  </si>
  <si>
    <t xml:space="preserve">2022-06</t>
  </si>
  <si>
    <t xml:space="preserve">https://www.prnewswire.com/news-releases/the-arab-academy-for-science-technology--maritime-transport-in-egypt-to-launch-the-first-artificial-intelligence-lab-in-the-mena-together-with-robotlab-from-the-usa-the-first-of-its-kind-partnership-in-the-region-301582469.html</t>
  </si>
  <si>
    <t xml:space="preserve">Official joint press release on PR Newswire; distinct from AASTMT's El Alamein College of AI already in the dataset. [Added 2026-08-05 expansion pass]</t>
  </si>
  <si>
    <t xml:space="preserve">University Innovation / AI Lab</t>
  </si>
  <si>
    <t xml:space="preserve">AUC Technology, Research and Innovation Lab (TRI-Lab)</t>
  </si>
  <si>
    <t xml:space="preserve">AUC lab enabling industry/government collaboration on emerging tech including AI in support of Egypt Vision 2030.</t>
  </si>
  <si>
    <t xml:space="preserve">Research center</t>
  </si>
  <si>
    <t xml:space="preserve">American University in Cairo (official)</t>
  </si>
  <si>
    <t xml:space="preserve">https://www.aucegypt.edu/about/new-cairo-campus/campus-2026/TRI-Lab</t>
  </si>
  <si>
    <t xml:space="preserve">Verified on university lab site. [Reclassified 2026-08-01] Old Sector: 'General' -&gt; New: 'Education'. Old Entity Type: 'Hub' -&gt; New Ecosystem Type: 'R&amp;D'. [Refined 2026-08-02] Sector set to 'Education'. Maturity inferred as 'Early' (default for Startup/R&amp;D with no funding signal). [Web re-verification 2026-08-05] Status 'Not yet verified' -&gt; 'Verified'. Official AUC page (Campus 2026 / TRI-Lab) confirms the lab and its industry/government collaboration mission on emerging tech in support of Egypt Vision 2030. Confirming source: https://www.aucegypt.edu/about/new-cairo-campus/campus-2026/TRI-Lab</t>
  </si>
  <si>
    <t xml:space="preserve">Emotion AI</t>
  </si>
  <si>
    <t xml:space="preserve">Affectiva Cairo (Smart Eye)</t>
  </si>
  <si>
    <t xml:space="preserve">Emotion-AI pioneer co-founded by Egyptian-American scientist Rana el Kaliouby; Cairo office of ~60 engineers/ML scientists; acquired by Sweden's Smart Eye (2021), which retains the Egypt office.</t>
  </si>
  <si>
    <t xml:space="preserve">Corporate AI office profile</t>
  </si>
  <si>
    <t xml:space="preserve">Wikipedia (Affectiva)</t>
  </si>
  <si>
    <t xml:space="preserve">https://en.wikipedia.org/wiki/Affectiva</t>
  </si>
  <si>
    <t xml:space="preserve">Cairo office &amp; acquisition cross-checked with Smart Eye announcement. [Reclassified 2026-08-01] Old Sector: 'Enterprise AI' -&gt; New: 'Industry'. Old Entity Type: 'Hub' -&gt; New Ecosystem Type: 'R&amp;D'. [Refined 2026-08-02] Sector set to 'Industry'. Maturity inferred as 'Early' (default for Startup/R&amp;D with no funding signal). [Audit 2026-08-05] Maturity corrected: 'Early' -&gt; 'Established'. [Audit 2026-08-05] Reason: institutional R&amp;D entity (Affectiva founded 2009, acquired by Smart Eye; ~60-person office); the blanket Early default under-stated organizational maturity</t>
  </si>
  <si>
    <t xml:space="preserve">Government AI Research Center</t>
  </si>
  <si>
    <t xml:space="preserve">Applied Innovation Center (AIC) - MCIT</t>
  </si>
  <si>
    <t xml:space="preserve">National applied-research centre established by MCIT (April 2020) developing AI applications in healthcare, agriculture, transport and digital identity; works with UNDP and on Arabic LLMs.</t>
  </si>
  <si>
    <t xml:space="preserve">Government body / research center</t>
  </si>
  <si>
    <t xml:space="preserve">2020-04</t>
  </si>
  <si>
    <t xml:space="preserve">OECD.AI</t>
  </si>
  <si>
    <t xml:space="preserve">https://oecd.ai/en/dashboards/policy-initiatives/applied-innovation-center-8245</t>
  </si>
  <si>
    <t xml:space="preserve">[Reclassified 2026-08-01] Old Sector: 'Policy' -&gt; New: 'Agriculture'. Old Entity Type: 'Hub' -&gt; New Ecosystem Type: 'R&amp;D'. [Refined 2026-08-02] Sector set to 'Agriculture'. Maturity inferred as 'Early' (default for Startup/R&amp;D with no funding signal). [Audit 2026-08-05] Maturity corrected: 'Early' -&gt; 'Established'. [Audit 2026-08-05] Reason: institutional R&amp;D entity (national centre est. 2020, fully operational); the blanket Early default under-stated organizational maturity</t>
  </si>
  <si>
    <t xml:space="preserve">University AI Faculty</t>
  </si>
  <si>
    <t xml:space="preserve">Cairo University - Faculty of Computers and AI (FCAI)</t>
  </si>
  <si>
    <t xml:space="preserve">Public faculty with Computer Science, IS, IT and Operations Research departments and an AI research focus; Giza.</t>
  </si>
  <si>
    <t xml:space="preserve">Academic institution</t>
  </si>
  <si>
    <t xml:space="preserve">FCAI Cairo University (official)</t>
  </si>
  <si>
    <t xml:space="preserve">https://fcai.cu.edu.eg/</t>
  </si>
  <si>
    <t xml:space="preserve">[Pending verification] ResearchGate source only. Confirmed via dedicated research pass: genuine AI/computer-vision lab (LR16ES06, ISI, University of Tunis El Manar, dir. Prof. Ezzeddine Zagrouba).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(long-established public faculty); the blanket Early default under-stated organizational maturity</t>
  </si>
  <si>
    <t xml:space="preserve">AI Higher Education</t>
  </si>
  <si>
    <t xml:space="preserve">College of Artificial Intelligence, AASTMT (El Alamein)</t>
  </si>
  <si>
    <t xml:space="preserve">Arab Academy for Science, Technology and Maritime Transport college of AI at El Alamein; four-year programs in ML, computer vision, NLP, data science, robotics and cybersecurity.</t>
  </si>
  <si>
    <t xml:space="preserve">Academic institution profile</t>
  </si>
  <si>
    <t xml:space="preserve">AASTMT (official)</t>
  </si>
  <si>
    <t xml:space="preserve">https://www.aast.edu/en/colleges/CAI/</t>
  </si>
  <si>
    <t xml:space="preserve">Official AASTMT college pages verified. [Reclassified 2026-08-01] Old Sector: 'General' -&gt; New: 'Maritime'. Old Entity Type: 'Hub' -&gt; New Ecosystem Type: 'R&amp;D'. [Refined 2026-08-02] Sector set to 'Maritime'. Maturity inferred as 'Early' (default for Startup/R&amp;D with no funding signal). [Merge fix 2026-08] Sector re-corrected from 'Maritime' back to 'Education' - this fix was applied in a prior round but this file was built from an earlier branch that predated it, causing a regression. Re-applied during merge.</t>
  </si>
  <si>
    <t xml:space="preserve">AI/ML Services &amp; Support</t>
  </si>
  <si>
    <t xml:space="preserve">Dell Technologies Egypt Center of Excellence</t>
  </si>
  <si>
    <t xml:space="preserve">Cairo COE, one of Dell's four global hubs (12 languages), with AI/ML, IoT and cloud teams; partnered with MCIT on 'AI Empower Egypt' (1,620 students trained, 300 AI solutions).</t>
  </si>
  <si>
    <t xml:space="preserve">Corporate R&amp;D center</t>
  </si>
  <si>
    <t xml:space="preserve">https://itida.gov.eg/English/PressReleases/Pages/Minister-of-Communications-and-Information-Technology-Explores-Innovation-at-Dell-Technologies-Center-of-Excellence-in-Egyp.aspx</t>
  </si>
  <si>
    <t xml:space="preserve">Official ITIDA press release. [Reclassified 2026-08-01] Old Sector: 'Enterprise AI'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[Audit 2026-08-05] Sector corrected: 'Education' -&gt; 'Industry'. [Audit 2026-08-05] Reason: corporate AI services center</t>
  </si>
  <si>
    <t xml:space="preserve">E-JUST Artificial Intelligence Program</t>
  </si>
  <si>
    <t xml:space="preserve">Egypt-Japan University of Science and Technology (New Borg El-Arab) AI undergraduate program on intelligent systems, with Japanese-Egyptian co-supervision.</t>
  </si>
  <si>
    <t xml:space="preserve">Academic program profile</t>
  </si>
  <si>
    <t xml:space="preserve">E-JUST (official)</t>
  </si>
  <si>
    <t xml:space="preserve">https://www.ejust.edu.eg/intpcsit</t>
  </si>
  <si>
    <t xml:space="preserve">AI program listed on official E-JUST pages; corroborated by JICA.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(operational university program); the blanket Early default under-stated organizational maturity</t>
  </si>
  <si>
    <t xml:space="preserve">Specialized ICT/AI University</t>
  </si>
  <si>
    <t xml:space="preserve">Egypt University of Informatics (EUI)</t>
  </si>
  <si>
    <t xml:space="preserve">Egypt's first university specialized in informatics, established 2021-2022 in Knowledge City, New Administrative Capital, by MCIT and the Ministry of Higher Education, with curricula in AI, data engineering and digital transformation across four faculties including Computer and Information Sciences.</t>
  </si>
  <si>
    <t xml:space="preserve">Institution profile</t>
  </si>
  <si>
    <t xml:space="preserve">Egypt University of Informatics</t>
  </si>
  <si>
    <t xml:space="preserve">https://eui.edu.eg/who-we-are</t>
  </si>
  <si>
    <t xml:space="preserve">Verified on the university's official website; establishment by presidential decree also covered by Egyptian Gazette. [Added 2026-08-05 expansion pass]</t>
  </si>
  <si>
    <t xml:space="preserve">Faculty of Artificial Intelligence, Egyptian Russian University</t>
  </si>
  <si>
    <t xml:space="preserve">Private university in Badr City with a dedicated Faculty of AI preparing specialized computing/AI cadres; students published AI research at international conferences.</t>
  </si>
  <si>
    <t xml:space="preserve">Egyptian Russian University (official)</t>
  </si>
  <si>
    <t xml:space="preserve">https://eru.edu.eg/faculty-of-artificial-intelligence/</t>
  </si>
  <si>
    <t xml:space="preserve">Official ERU faculty page verified.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(operational private faculty); the blanket Early default under-stated organizational maturity</t>
  </si>
  <si>
    <t xml:space="preserve">Faculty of Artificial Intelligence, Horus University Egypt</t>
  </si>
  <si>
    <t xml:space="preserve">Private university in Damietta (HUE) with a dedicated Faculty of AI advancing education and research in AI, data science and modern technologies.</t>
  </si>
  <si>
    <t xml:space="preserve">Horus University Egypt (official)</t>
  </si>
  <si>
    <t xml:space="preserve">https://ai.horus.edu.eg/</t>
  </si>
  <si>
    <t xml:space="preserve">Confirmed via Egypt Today; faculty active.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(operational private faculty); the blanket Early default under-stated organizational maturity</t>
  </si>
  <si>
    <t xml:space="preserve">Faculty of Artificial Intelligence, Kafr El-Sheikh University</t>
  </si>
  <si>
    <t xml:space="preserve">First dedicated Faculty of Artificial Intelligence in Egypt (first intake 2019/2020); four-year BSc covering smart systems, IoT and nanotechnology, established with Hamdan Bin Mohammed Smart University (UAE).</t>
  </si>
  <si>
    <t xml:space="preserve">https://www.egypttoday.com/Article/1/73007/First-ever-Egyptian-AI-faculty-inaugurated</t>
  </si>
  <si>
    <t xml:space="preserve">Dedicated faculty subdomain verified.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(faculty operating since 2019); the blanket Early default under-stated organizational maturity</t>
  </si>
  <si>
    <t xml:space="preserve">Faculty of Artificial Intelligence, Menoufia University</t>
  </si>
  <si>
    <t xml:space="preserve">Public AI faculty established 2021 in Shebin El-Kom; BSc in AI (144 credit hours) with departments in Machine Intelligence, Data Science, Cyber Security and Intelligent Systems Engineering.</t>
  </si>
  <si>
    <t xml:space="preserve">Menoufia University (official)</t>
  </si>
  <si>
    <t xml:space="preserve">https://mu.menofia.edu.eg/MUIS/NewsDetails/142469/en</t>
  </si>
  <si>
    <t xml:space="preserve">AI-focused faculty and departments confirmed.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(faculty est. 2021, operational); the blanket Early default under-stated organizational maturity</t>
  </si>
  <si>
    <t xml:space="preserve">Faculty of Computers and AI, Benha University</t>
  </si>
  <si>
    <t xml:space="preserve">Public faculty (BFCAI) training graduates in computer science and AI; research cooperation protocol signed with Health Insights Company.</t>
  </si>
  <si>
    <t xml:space="preserve">Benha University FCAI (official)</t>
  </si>
  <si>
    <t xml:space="preserve">https://en.fci.bu.edu.eg/</t>
  </si>
  <si>
    <t xml:space="preserve">Intelligent diagnostic systems scope confirmed on faculty pages. [Reclassified 2026-08-01] Old Sector: 'Healthtech' -&gt; New: 'Health'. Old Entity Type: 'Hub' -&gt; New Ecosystem Type: 'R&amp;D'. [Refined 2026-08-02] Sector set to 'Health'. Maturity inferred as 'Early' (default for Startup/R&amp;D with no funding signal). [Audit 2026-08-05] Maturity corrected: 'Early' -&gt; 'Established'. [Audit 2026-08-05] Reason: institutional R&amp;D entity (established public faculty); the blanket Early default under-stated organizational maturity [Merge fix 2026-08] Sector re-corrected from 'Health' back to 'Education' - this fix was applied in a prior round but this file was built from an earlier branch that predated it, causing a regression. Re-applied during merge.</t>
  </si>
  <si>
    <t xml:space="preserve">Faculty of Computers and AI, Helwan University</t>
  </si>
  <si>
    <t xml:space="preserve">Helwan's computing faculty (est. 1995), renamed Faculty of Computers and Artificial Intelligence; undergraduate and postgraduate programs incl. software engineering and AI/CS degrees.</t>
  </si>
  <si>
    <t xml:space="preserve">Helwan University FCAI (official)</t>
  </si>
  <si>
    <t xml:space="preserve">https://fcih.helwan.edu.eg/index.php/en/about-the-faculty/about</t>
  </si>
  <si>
    <t xml:space="preserve">Official faculty website confirms AI-inclusive name and programs.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(faculty est. 1995); the blanket Early default under-stated organizational maturity</t>
  </si>
  <si>
    <t xml:space="preserve">AI Faculty / Degree Programs</t>
  </si>
  <si>
    <t xml:space="preserve">Faculty of Computers and Artificial Intelligence, Damietta University</t>
  </si>
  <si>
    <t xml:space="preserve">Public-university faculty at Damietta University offering computing and artificial intelligence programs, and organizer (with IEEE Egypt Section) of the ICIAAI 2026 international AI conference and student hackathon.</t>
  </si>
  <si>
    <t xml:space="preserve">Existence and role confirmed via the university's official conference pages; not among the AI faculties already tracked for Egypt. [Added 2026-08-05 expansion pass]</t>
  </si>
  <si>
    <t xml:space="preserve">AI &amp; Data Science Education</t>
  </si>
  <si>
    <t xml:space="preserve">Faculty of Computers and Data Science, Alexandria University</t>
  </si>
  <si>
    <t xml:space="preserve">Dedicated faculty graduating specialists in data science, AI, intelligent systems and media analytics, from health data to e-commerce applications.</t>
  </si>
  <si>
    <t xml:space="preserve">Alexandria University FCDS (official)</t>
  </si>
  <si>
    <t xml:space="preserve">https://fcds.alexu.edu.eg/index.php/en/</t>
  </si>
  <si>
    <t xml:space="preserve">Official faculty site confirms AI/data-science mandate. [Reclassified 2026-08-01] Old Sector: 'General' -&gt; New: 'Health'. Old Entity Type: 'Hub' -&gt; New Ecosystem Type: 'R&amp;D'. [Refined 2026-08-02] Sector set to 'Health'. Maturity inferred as 'Early' (default for Startup/R&amp;D with no funding signal). [Audit 2026-08-05] Maturity corrected: 'Early' -&gt; 'Established'. [Audit 2026-08-05] Reason: institutional R&amp;D entity (established faculty); the blanket Early default under-stated organizational maturity [Merge fix 2026-08] Sector re-corrected from 'Health' back to 'Education' - this fix was applied in a prior round but this file was built from an earlier branch that predated it, causing a regression. Re-applied during merge.</t>
  </si>
  <si>
    <t xml:space="preserve">University AI Research Center</t>
  </si>
  <si>
    <t xml:space="preserve">Nile University - AI Lab &amp; MSc in AI</t>
  </si>
  <si>
    <t xml:space="preserve">Hosts a dedicated AI Lab and an MSc in AI (curriculum co-designed with MIT Media Lab &amp; IBM Egypt) covering ML, NLP, robotics and smart cities.</t>
  </si>
  <si>
    <t xml:space="preserve">Academic program / research center</t>
  </si>
  <si>
    <t xml:space="preserve">Nile University (official)</t>
  </si>
  <si>
    <t xml:space="preserve">https://itcs.nu.edu.eg/program/artificial-intelligence</t>
  </si>
  <si>
    <t xml:space="preserve">AI Lab and MSc AI program confirmed.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university lab &amp; MSc); the blanket Early default under-stated organizational maturity</t>
  </si>
  <si>
    <t xml:space="preserve">Automotive AI R&amp;D</t>
  </si>
  <si>
    <t xml:space="preserve">Valeo Egypt - Cairo Tech Hub &amp; AI Development Center</t>
  </si>
  <si>
    <t xml:space="preserve">Valeo Cairo (~2,200 engineers, Smart Village) produces about half of the group's global automotive software; launched a dedicated AI Development Center (April 2026) for smart mobility.</t>
  </si>
  <si>
    <t xml:space="preserve">Valeo (official)</t>
  </si>
  <si>
    <t xml:space="preserve">https://www.valeo.com/en/valeo-celebrates-20-years-in-egypt-and-launches-ai-development-center-in-cairo/</t>
  </si>
  <si>
    <t xml:space="preserve">Official Valeo press release; corroborated by Daily News Egypt. [Reclassified 2026-08-01] Old Sector: 'Enterprise AI' -&gt; New: 'Energy, Agriculture, Maritime, Health, Industry, Education'. Old Entity Type: 'Hub' -&gt; New Ecosystem Type: 'R&amp;D'. [Refined 2026-08-02] Sector forced to single label 'Industry' (was multi-sector: Energy, Agriculture, Maritime, Health, Industry, Education). Maturity inferred as 'Early' (default for Startup/R&amp;D with no funding signal).</t>
  </si>
  <si>
    <t xml:space="preserve">University AI Graduate Program</t>
  </si>
  <si>
    <t xml:space="preserve">Zewail City - MSc in AI Engineering</t>
  </si>
  <si>
    <t xml:space="preserve">Thesis-based MSc in AI Engineering (ML, deep learning, optimization) at the Nobel-laureate-founded research institution.</t>
  </si>
  <si>
    <t xml:space="preserve">Academic program</t>
  </si>
  <si>
    <t xml:space="preserve">Zewail City (official)</t>
  </si>
  <si>
    <t xml:space="preserve">https://www.zewailcity.edu.eg/academics/graduate-studies/schools/program/46</t>
  </si>
  <si>
    <t xml:space="preserve">MSc AI Engineering program confirmed.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MSc at Zewail City); the blanket Early default under-stated organizational maturity</t>
  </si>
  <si>
    <t xml:space="preserve">Precision Farming</t>
  </si>
  <si>
    <t xml:space="preserve">AgriCan</t>
  </si>
  <si>
    <t xml:space="preserve">AI and IoT-driven agricultural robotics startup founded in 2020 by Salem Ghanam, motivated by farmers suffering pesticide-related health issues. Pivoted from drone-based to ground-based robots in 2022. Deployed across 5,230 acres on 15+ Egyptian farms, expanded to UAE and Jordan. Offers precision pesticide spraying, portable plant disease detection, and greenhouse soil/salinity/CO2 monitoring. Represented Egypt at COP28; field trials showed 15% higher yields, 31% less pesticide use, 12% less labor.</t>
  </si>
  <si>
    <t xml:space="preserve">TechCabl</t>
  </si>
  <si>
    <t xml:space="preserve">https://techcabal.com/2025/03/26/agrican-robots-make-farming-smarter/</t>
  </si>
  <si>
    <t xml:space="preserve">[Reclassified 2026-08-01] Old Sector: 'Agritech' -&gt; New: 'Agriculture'. Old Entity Type: 'Startup' -&gt; New Ecosystem Type: 'Startup'. [Refined 2026-08-02] Sector set to 'Agriculture'. Maturity inferred as 'Early' (default for Startup/R&amp;D with no funding signal).</t>
  </si>
  <si>
    <t xml:space="preserve">Biotech</t>
  </si>
  <si>
    <t xml:space="preserve">Al Protein</t>
  </si>
  <si>
    <t xml:space="preserve">Biotech startup using AI and IoT sensors to farm duckweed in desert environments for sustainable protein.</t>
  </si>
  <si>
    <t xml:space="preserve">Crunchbase</t>
  </si>
  <si>
    <t xml:space="preserve">https://www.crunchbase.com/organization/al-protein</t>
  </si>
  <si>
    <t xml:space="preserve">[Pending verification] Explicit AI (vs IoT/automation) not independently confirmed. [Reclassified 2026-08-01] Old Sector: 'Agritech' -&gt; New: 'Agriculture'. Old Entity Type: 'Startup' -&gt; New Ecosystem Type: 'Startup'. [Refined 2026-08-02] Sector set to 'Agriculture'. Maturity inferred as 'Early' (default for Startup/R&amp;D with no funding signal).</t>
  </si>
  <si>
    <t xml:space="preserve">Automotive ADAS/AV Software</t>
  </si>
  <si>
    <t xml:space="preserve">Avelabs</t>
  </si>
  <si>
    <t xml:space="preserve">Cairo automotive software firm (founded 2012) with one of Egypt's largest tier-2 automotive R&amp;D centers; ADAS/AV software plus Yonohub (AV/robotics dev cloud) and AutoHears (acoustic sensing).</t>
  </si>
  <si>
    <t xml:space="preserve">Avelabs (official)</t>
  </si>
  <si>
    <t xml:space="preserve">https://www.avelabs.com/</t>
  </si>
  <si>
    <t xml:space="preserve">AI Video Analytics</t>
  </si>
  <si>
    <t xml:space="preserve">AvidBeam</t>
  </si>
  <si>
    <t xml:space="preserve">AI video-analytics platform for smart cities, retail and security (crowd density, anomaly detection); started 2014.</t>
  </si>
  <si>
    <t xml:space="preserve">Funding / company profile</t>
  </si>
  <si>
    <t xml:space="preserve">https://www.menabytes.com/avidbeam-series-a/</t>
  </si>
  <si>
    <t xml:space="preserve">AI video analytics; Egypt Ventures Series A. [Reclassified 2026-08-01] Old Sector: 'Enterprise AI' -&gt; New: 'Industry'. Old Entity Type: 'Startup' -&gt; New Ecosystem Type: 'Startup'. [Refined 2026-08-02] Sector set to 'Industry'. Maturity inferred as 'Early' (default for Startup/R&amp;D with no funding signal).</t>
  </si>
  <si>
    <t xml:space="preserve">AI-Powered Consumer Lending</t>
  </si>
  <si>
    <t xml:space="preserve">Blnk</t>
  </si>
  <si>
    <t xml:space="preserve">Cairo fintech (founded 2021) whose AI underwriting approves point-of-sale consumer credit in minutes across 3,000+ merchants; raised $37.1M (June 2026: $12.5M Series A led by Algebra + $24.6M debt).</t>
  </si>
  <si>
    <t xml:space="preserve">Funding news</t>
  </si>
  <si>
    <t xml:space="preserve">$37,100,000</t>
  </si>
  <si>
    <t xml:space="preserve">https://www.wamda.com/2026/06/blnk-secures-37-million-deepen-financial-inclusion-egypt</t>
  </si>
  <si>
    <t xml:space="preserve">AI underwriting described across Wamda, Disrupt Africa coverage. [Reclassified 2026-08-01] Old Sector: 'Fintech' -&gt; New: 'Industry'. Old Entity Type: 'Startup' -&gt; New Ecosystem Type: 'Startup'. [Refined 2026-08-02] Sector set to 'Industry'. Maturity inferred as 'Established' (funding&gt;=5M ($37,100,000)).</t>
  </si>
  <si>
    <t xml:space="preserve">Professional Networking</t>
  </si>
  <si>
    <t xml:space="preserve">BrainsMingle</t>
  </si>
  <si>
    <t xml:space="preserve">Professional  AI-powered networking platform integrating private in-house hubs for face-to-face interactions and live mentoring.</t>
  </si>
  <si>
    <t xml:space="preserve">LinkedIn</t>
  </si>
  <si>
    <t xml:space="preserve">https://www.linkedin.com/company/brainsmingle</t>
  </si>
  <si>
    <t xml:space="preserve">Site live; cross-checked with CB Insights and Tracxn. [Reclassified 2026-08-01] Old Sector: 'Enterprise AI' -&gt; New: 'Industry'. Old Entity Type: 'Startup' -&gt; New Ecosystem Type: 'Startup'. [Refined 2026-08-02] Sector set to 'Industry'. Maturity inferred as 'Early' (default for Startup/R&amp;D with no funding signal).</t>
  </si>
  <si>
    <t xml:space="preserve">Retail &amp; Supply Chain</t>
  </si>
  <si>
    <t xml:space="preserve">Brimore</t>
  </si>
  <si>
    <t xml:space="preserve">Social commerce platform leveraging machine learning to predict demand, optimize supply chain, and match distributors.</t>
  </si>
  <si>
    <t xml:space="preserve">$25,000,000</t>
  </si>
  <si>
    <t xml:space="preserve">https://www.crunchbase.com/organization/brimore</t>
  </si>
  <si>
    <t xml:space="preserve">[Reclassified 2026-08-01] Old Sector: 'Enterprise AI' -&gt; New: 'Industry'. Old Entity Type: 'Startup' -&gt; New Ecosystem Type: 'Startup'. [Refined 2026-08-02] Sector set to 'Industry'. Maturity inferred as 'Established' (funding&gt;=5M ($25,000,000)).</t>
  </si>
  <si>
    <t xml:space="preserve">HR-tech / AI Workforce Mgmt</t>
  </si>
  <si>
    <t xml:space="preserve">Brite</t>
  </si>
  <si>
    <t xml:space="preserve">AI-powered HR &amp; business-management SaaS for MENA SMEs (attendance, payroll, performance) with real-time analytics; launched 2025-2026.</t>
  </si>
  <si>
    <t xml:space="preserve">Company / product launch</t>
  </si>
  <si>
    <t xml:space="preserve">EgyptInnovate</t>
  </si>
  <si>
    <t xml:space="preserve">https://egyptinnovate.com/en/news/cairo-startup-brite-unveils-ai-driven-hr-solution-smes-across-mena-region</t>
  </si>
  <si>
    <t xml:space="preserve">[Pending verification] AI HR platform for MENA SMEs; single aggregator source. [Reclassified 2026-08-01] Old Sector: 'Enterprise AI' -&gt; New: 'Industry'. Old Entity Type: 'Startup' -&gt; New Ecosystem Type: 'Startup'. [Refined 2026-08-02] Sector set to 'Industry'. Maturity inferred as 'Early' (default for Startup/R&amp;D with no funding signal). [Web re-verification 2026-08-05] Status 'Not yet verified' -&gt; 'Verified'. Official site gobrite.net ('AI HR Platform for MENA SMEs') plus press coverage (WAYA, Sharikat Mubasher, EgyptInnovate) confirm the Cairo-based AI-powered HR platform launch targeting MENA SMEs. Confirming source: https://gobrite.net/</t>
  </si>
  <si>
    <t xml:space="preserve">CPaaS / AI Communications</t>
  </si>
  <si>
    <t xml:space="preserve">CEQUENS</t>
  </si>
  <si>
    <t xml:space="preserve">CPaaS provider offering AI-interfaced messaging, voice and multichannel APIs and the CEQUENS AI Agent chatbot; founded 2011, Cairo.</t>
  </si>
  <si>
    <t xml:space="preserve">BTW Media / Crunchbase</t>
  </si>
  <si>
    <t xml:space="preserve">https://btw.media/company-stories/cequens-egypts-cpaas-powerhouse-with-global-ambitions/</t>
  </si>
  <si>
    <t xml:space="preserve">AI-powered CPaaS and CEQUENS AI Agent. [Reclassified 2026-08-01] Old Sector: 'Enterprise AI' -&gt; New: 'Industry'. Old Entity Type: 'Startup' -&gt; New Ecosystem Type: 'Startup'. [Refined 2026-08-02] Sector set to 'Industry'. Maturity inferred as 'Early' (default for Startup/R&amp;D with no funding signal).</t>
  </si>
  <si>
    <t xml:space="preserve">AI Credit Scoring</t>
  </si>
  <si>
    <t xml:space="preserve">Cassbana</t>
  </si>
  <si>
    <t xml:space="preserve">Egyptian fintech using AI/ML behaviour-based credit scoring to build financial identities for the unbanked; raised $1M pre-seed (2021).</t>
  </si>
  <si>
    <t xml:space="preserve">2021-01</t>
  </si>
  <si>
    <t xml:space="preserve">$1,000,000</t>
  </si>
  <si>
    <t xml:space="preserve">Disrupt Africa</t>
  </si>
  <si>
    <t xml:space="preserve">https://disruptafrica.com/2021/01/11/egyptian-fintech-startup-cassbana-raises-1m-pre-seed-funding-round/</t>
  </si>
  <si>
    <t xml:space="preserve">[Reclassified 2026-08-01] Old Sector: 'Fintech' -&gt; New: 'Industry'. Old Entity Type: 'Startup' -&gt; New Ecosystem Type: 'Startup'. [Refined 2026-08-02] Sector set to 'Industry'. Maturity inferred as 'Growth' (funding 1-5M ($1,000,000)).</t>
  </si>
  <si>
    <t xml:space="preserve">AI Pharmacy / e-Health</t>
  </si>
  <si>
    <t xml:space="preserve">Chefaa</t>
  </si>
  <si>
    <t xml:space="preserve">Founded 2017; AI-powered chronic-medication and pharmacy-delivery platform matching patients to pharmacies.</t>
  </si>
  <si>
    <t xml:space="preserve">The Startup Scene ME</t>
  </si>
  <si>
    <t xml:space="preserve">https://thestartupscene.me/INVESTMENTS/Egyptian-Healthtech-Chefaa-Raises-Undisclosed-Venture-Round</t>
  </si>
  <si>
    <t xml:space="preserve">Source Name corrected to match URL domain [Reclassified 2026-08-01] Old Sector: 'Healthtech' -&gt; New: 'Health'. Old Entity Type: 'Startup' -&gt; New Ecosystem Type: 'Startup'. [Refined 2026-08-02] Sector set to 'Health'. Maturity inferred as 'Early' (default for Startup/R&amp;D with no funding signal).</t>
  </si>
  <si>
    <t xml:space="preserve">Martech / AdTech AI</t>
  </si>
  <si>
    <t xml:space="preserve">Convertedin</t>
  </si>
  <si>
    <t xml:space="preserve">Founded 2019; marketing operating system for e-commerce using data and AI to generate personalised multi-channel campaigns; raised $3M seed (2022, Merak Capital &amp; 500 Global).</t>
  </si>
  <si>
    <t xml:space="preserve">2022-08</t>
  </si>
  <si>
    <t xml:space="preserve">$3,000,000</t>
  </si>
  <si>
    <t xml:space="preserve">https://www.wamda.com/2022/08/egypt-convertedin-raises-3-million-seed-round</t>
  </si>
  <si>
    <t xml:space="preserve">Founding year disputed across sources (2020 per Wamda, 2022 per WAYA/Arageek, Sept 2023 launch per L'Orient Today) - unresolved. [Reclassified 2026-08-01] Old Sector: 'Enterprise AI' -&gt; New: 'Industry'. Old Entity Type: 'Startup' -&gt; New Ecosystem Type: 'Startup'. [Refined 2026-08-02] Sector set to 'Industry'. Maturity inferred as 'Growth' (funding 1-5M ($3,000,000)).</t>
  </si>
  <si>
    <t xml:space="preserve">Arabic NLP / Social Listening</t>
  </si>
  <si>
    <t xml:space="preserve">Crowd Analyzer</t>
  </si>
  <si>
    <t xml:space="preserve">Arabic-focused social-listening platform using proprietary ML/NLP across Egyptian, Gulf, Levantine and MSA dialects; founded 2013.</t>
  </si>
  <si>
    <t xml:space="preserve">$3,500,000</t>
  </si>
  <si>
    <t xml:space="preserve">https://www.menabytes.com/crowd-analyzer-series-a/</t>
  </si>
  <si>
    <t xml:space="preserve">$3.5M+ Series A; Arabic NLP/AI. [Reclassified 2026-08-01] Old Sector: 'Enterprise AI' -&gt; New: 'Industry'. Old Entity Type: 'Startup' -&gt; New Ecosystem Type: 'Startup'. [Refined 2026-08-02] Sector set to 'Industry'. Maturity inferred as 'Growth' (funding 1-5M ($3,500,000)).</t>
  </si>
  <si>
    <t xml:space="preserve">NLP</t>
  </si>
  <si>
    <t xml:space="preserve">DXwand</t>
  </si>
  <si>
    <t xml:space="preserve">Generative AI platform used by contact centers to automate customer interactions with high accuracy.</t>
  </si>
  <si>
    <t xml:space="preserve">Company website</t>
  </si>
  <si>
    <t xml:space="preserve">Company website (DXwand)</t>
  </si>
  <si>
    <t xml:space="preserve">https://www.dxwand.com/</t>
  </si>
  <si>
    <t xml:space="preserve">No-code Computer Vision</t>
  </si>
  <si>
    <t xml:space="preserve">DevisionX</t>
  </si>
  <si>
    <t xml:space="preserve">Builds AI computer-vision tools; flagship Tuba.ai is a no-code AI-vision workflow builder plus multimodal RAG assistant for industrial inspection; founded 2017.</t>
  </si>
  <si>
    <t xml:space="preserve">https://egyptinnovate.com/en/entities/profile/devisionx-1</t>
  </si>
  <si>
    <t xml:space="preserve">No-code computer-vision platform Tuba.ai. [Reclassified 2026-08-01] Old Sector: 'Enterprise AI' -&gt; New: 'Industry'. Old Entity Type: 'Startup' -&gt; New Ecosystem Type: 'Startup'. [Refined 2026-08-02] Sector set to 'Industry'. Maturity inferred as 'Early' (default for Startup/R&amp;D with no funding signal).</t>
  </si>
  <si>
    <t xml:space="preserve">Diagnostics</t>
  </si>
  <si>
    <t xml:space="preserve">DilenyTech</t>
  </si>
  <si>
    <t xml:space="preserve">Specializes in AI-enabled breast imaging to improve cancer detection rates and reduce diagnostic errors.</t>
  </si>
  <si>
    <t xml:space="preserve">linkedin</t>
  </si>
  <si>
    <t xml:space="preserve">https://www.linkedin.com/company/dilenytech</t>
  </si>
  <si>
    <t xml:space="preserve">[Reclassified 2026-08-01] Old Sector: 'Healthtech' -&gt; New: 'Health'. Old Entity Type: 'Startup' -&gt; New Ecosystem Type: 'Startup'. [Refined 2026-08-02] Sector set to 'Health'. Maturity inferred as 'Early' (default for Startup/R&amp;D with no funding signal).</t>
  </si>
  <si>
    <t xml:space="preserve">Edtech / Higher-Ed Matching</t>
  </si>
  <si>
    <t xml:space="preserve">Educatly</t>
  </si>
  <si>
    <t xml:space="preserve">AI/LLM-powered platform matching students to 130,000+ programs from 1,100 universities; founded 2020.</t>
  </si>
  <si>
    <t xml:space="preserve">2024-07</t>
  </si>
  <si>
    <t xml:space="preserve">$2,500,000</t>
  </si>
  <si>
    <t xml:space="preserve">https://www.wamda.com/2024/07/educatly-concludes-2-5-million-funding-round</t>
  </si>
  <si>
    <t xml:space="preserve">$2.5M round (TLcom, Plus VC); AI/LLM edtech. [Reclassified 2026-08-01] Old Sector: 'General' -&gt; New: 'Education'. Old Entity Type: 'Startup' -&gt; New Ecosystem Type: 'Startup'. [Refined 2026-08-02] Sector set to 'Education'. Maturity inferred as 'Growth' (funding 1-5M ($2,500,000)).</t>
  </si>
  <si>
    <t xml:space="preserve">Autonomous Ag Robotics / CV</t>
  </si>
  <si>
    <t xml:space="preserve">Egrobots</t>
  </si>
  <si>
    <t xml:space="preserve">Deep-tech robotics firm that built the Arab world's first fully Egyptian autonomous harvesting robot using computer vision and autonomous navigation; NVIDIA Inception member.</t>
  </si>
  <si>
    <t xml:space="preserve">Company / product announcement</t>
  </si>
  <si>
    <t xml:space="preserve">2026-05</t>
  </si>
  <si>
    <t xml:space="preserve">$125,000</t>
  </si>
  <si>
    <t xml:space="preserve">https://www.wamda.com/2026/05/egrobots-unveils-ai-powered-harvesting-robot-built-entirely-egyptian-engineers</t>
  </si>
  <si>
    <t xml:space="preserve">AI harvesting robot confirmed; $125k pre-seed. [Reclassified 2026-08-01] Old Sector: 'Agritech' -&gt; New: 'Agriculture'. Old Entity Type: 'Startup' -&gt; New Ecosystem Type: 'Startup'. [Refined 2026-08-02] Sector set to 'Industry'. Maturity inferred as 'Early' (funding&lt;1M ($125,000)).</t>
  </si>
  <si>
    <t xml:space="preserve">Edtech / Edutainment</t>
  </si>
  <si>
    <t xml:space="preserve">FabMinds</t>
  </si>
  <si>
    <t xml:space="preserve">Deep-tech edutainment app with AI features for designing printable games plus a 3D printer and community platform.</t>
  </si>
  <si>
    <t xml:space="preserve">Today Africa</t>
  </si>
  <si>
    <t xml:space="preserve">https://todayafrica.co/ai-startups-in-egypt/</t>
  </si>
  <si>
    <t xml:space="preserve">Cross-checked with founder interview coverage. [Reclassified 2026-08-01] Old Sector: 'General' -&gt; New: 'Education'. Old Entity Type: 'Startup' -&gt; New Ecosystem Type: 'Startup'. [Refined 2026-08-02] Sector set to 'Education'. Maturity inferred as 'Early' (default for Startup/R&amp;D with no funding signal). [Web re-verification 2026-08-05] Status 'Not yet verified' -&gt; 'Verified'. Official site fab-minds.com (product and features pages match the edutainment app + 3D printer description) plus F6S, Lucidity Insights and LinkedIn profiles confirm the Egyptian startup. Confirming source: https://fab-minds.com/</t>
  </si>
  <si>
    <t xml:space="preserve">AI &amp; IoT Farm Automation</t>
  </si>
  <si>
    <t xml:space="preserve">Farmtopia</t>
  </si>
  <si>
    <t xml:space="preserve">Egyptian agritech platform using AI and IoT to automate farm processes from seeding to harvesting, providing soil insights, advanced analytics and automated irrigation with customizable levels of farmer control.</t>
  </si>
  <si>
    <t xml:space="preserve">WAYA Media</t>
  </si>
  <si>
    <t xml:space="preserve">https://waya.media/unlocking-egypts-agritech-potential/</t>
  </si>
  <si>
    <t xml:space="preserve">Found in WAYA Media's Egypt agritech feature only; no primary source located in this pass. [Added 2026-08-05 expansion pass]</t>
  </si>
  <si>
    <t xml:space="preserve">Embedded / Revenue-Based Financing</t>
  </si>
  <si>
    <t xml:space="preserve">FlapKap</t>
  </si>
  <si>
    <t xml:space="preserve">Egypt-born fintech providing revenue-based and embedded financing to SMEs using AI credit models built on open-banking and alternative data; raised $34M pre-Series A (2024).</t>
  </si>
  <si>
    <t xml:space="preserve">$34,000,000</t>
  </si>
  <si>
    <t xml:space="preserve">https://www.wamda.com/2024/09/flapkap-secures-34-million-pre-series-a-mix-debt-equity</t>
  </si>
  <si>
    <t xml:space="preserve">[Reclassified 2026-08-01] Old Sector: 'Fintech' -&gt; New: 'Industry'. Old Entity Type: 'Startup' -&gt; New Ecosystem Type: 'Startup'. [Refined 2026-08-02] Sector set to 'Industry'. Maturity inferred as 'Established' (funding&gt;=5M ($34,000,000)).</t>
  </si>
  <si>
    <t xml:space="preserve">AI Loyalty / Customer Intelligence</t>
  </si>
  <si>
    <t xml:space="preserve">Gameball</t>
  </si>
  <si>
    <t xml:space="preserve">Cairo-founded loyalty &amp; CRM platform (7,000+ businesses) marketed as AI loyalty (AI agents monitor customer data, recommend campaigns); $3.5M seed (Feb 2023) with 500 Global and P1 Ventures.</t>
  </si>
  <si>
    <t xml:space="preserve">2023-02-08</t>
  </si>
  <si>
    <t xml:space="preserve">Enterprise (EnterpriseAM)</t>
  </si>
  <si>
    <t xml:space="preserve">https://enterpriseam.com/egypt/2023/02/08/homegrown-adtech-startup-gameball-bags-usd-3-5-mn-seed-round/</t>
  </si>
  <si>
    <t xml:space="preserve">Funding verified; AI positioning on Shopify listing. [Reclassified 2026-08-01] Old Sector: 'Enterprise AI' -&gt; New: 'Industry'. Old Entity Type: 'Startup' -&gt; New Ecosystem Type: 'Startup'. [Refined 2026-08-02] Sector set to 'Industry'. Maturity inferred as 'Growth' (funding 1-5M ($3,500,000)).</t>
  </si>
  <si>
    <t xml:space="preserve">Pharmaceutical Supply Chain</t>
  </si>
  <si>
    <t xml:space="preserve">Grinta</t>
  </si>
  <si>
    <t xml:space="preserve">End-to-end managed B2B marketplace using AI to trace medical products and empower independent local pharmacies.</t>
  </si>
  <si>
    <t xml:space="preserve">Product specifications</t>
  </si>
  <si>
    <t xml:space="preserve">https://www.crunchbase.com/organization/grinta</t>
  </si>
  <si>
    <t xml:space="preserve">Official site verified; corroborated by Crunchbase/CB Insights. [Reclassified 2026-08-01] Old Sector: 'Enterprise AI' -&gt; New: 'Health'. Old Entity Type: 'Startup' -&gt; New Ecosystem Type: 'Startup'. [Refined 2026-08-02] Sector set to 'Health'. Maturity inferred as 'Early' (default for Startup/R&amp;D with no funding signal).</t>
  </si>
  <si>
    <t xml:space="preserve">AI Financial OS for SMEs</t>
  </si>
  <si>
    <t xml:space="preserve">INVIA</t>
  </si>
  <si>
    <t xml:space="preserve">AI-powered financial operating system for SMEs combining bookkeeping, cash-flow, inventory and manufacturing operations; founded 2023.</t>
  </si>
  <si>
    <t xml:space="preserve">$1,200,000</t>
  </si>
  <si>
    <t xml:space="preserve">https://www.wamda.com/2026/04/invia-raises-1-2m-build-ai-powered-financial-os-smes-egypt</t>
  </si>
  <si>
    <t xml:space="preserve">$1.2M raise &amp; AI financial OS for SMEs confirmed. [Reclassified 2026-08-01] Old Sector: 'Fintech' -&gt; New: 'Industry'. Old Entity Type: 'Startup' -&gt; New Ecosystem Type: 'Startup'. [Refined 2026-08-02] Sector set to 'Industry'. Maturity inferred as 'Growth' (funding 1-5M ($1,200,000)).</t>
  </si>
  <si>
    <t xml:space="preserve">IRRI Vision</t>
  </si>
  <si>
    <t xml:space="preserve">Equips doctors with AI diagnostic tools to sharpen clinical decision-making. Acquired by Edafa VC.</t>
  </si>
  <si>
    <t xml:space="preserve">Deal Announcements</t>
  </si>
  <si>
    <t xml:space="preserve">Morocco World news</t>
  </si>
  <si>
    <t xml:space="preserve">https://www.moroccoworldnews.com/2026/02/278634/ai-everything-mea-egypt-concludes-with-real-world-ai-deployment-strong-message-of-regions-momentum/</t>
  </si>
  <si>
    <t xml:space="preserve">Source Type corrected to 'Aggregator'; recommend cross-checking against Edafa VC's own deal announcement [Reclassified 2026-08-01] Old Sector: 'Healthtech' -&gt; New: 'Health'. Old Entity Type: 'Startup' -&gt; New Ecosystem Type: 'Startup'. [Refined 2026-08-02] Sector set to 'Health'. Maturity inferred as 'Early' (default for Startup/R&amp;D with no funding signal).</t>
  </si>
  <si>
    <t xml:space="preserve">Semiconductors &amp; AI Infrastructure</t>
  </si>
  <si>
    <t xml:space="preserve">InfiniLink</t>
  </si>
  <si>
    <t xml:space="preserve">Development of high-speed optical transceiver engines for Ethernet, PCIe and AI applications (Acquired by GlobalFoundries).</t>
  </si>
  <si>
    <t xml:space="preserve">M&amp;A Acquisition Data</t>
  </si>
  <si>
    <t xml:space="preserve">https://www.linkedin.com/company/infinilink/</t>
  </si>
  <si>
    <t xml:space="preserve">[Pending verification] Listicle source only. [Reclassified 2026-08-01] Old Sector: 'General' -&gt; New: 'Industry'. Old Entity Type: 'Startup' -&gt; New Ecosystem Type: 'Startup'. [Refined 2026-08-02] Sector set to 'Industry'. Maturity inferred as 'Early' (default for Startup/R&amp;D with no funding signal).</t>
  </si>
  <si>
    <t xml:space="preserve">GenAI DevTools / Mobile Observability</t>
  </si>
  <si>
    <t xml:space="preserve">Instabug (Luciq)</t>
  </si>
  <si>
    <t xml:space="preserve">Egyptian-founded mobile-app monitoring platform; SmartResolve 2.0 uses generative AI to diagnose crashes and auto-generate fix code; $46M Series B (2022); rebranded Luciq as AI-agent-driven observability company.</t>
  </si>
  <si>
    <t xml:space="preserve">Product / AI launch news</t>
  </si>
  <si>
    <t xml:space="preserve">2024-10-29</t>
  </si>
  <si>
    <t xml:space="preserve">$46,000,000</t>
  </si>
  <si>
    <t xml:space="preserve">Business Wire</t>
  </si>
  <si>
    <t xml:space="preserve">https://www.businesswire.com/news/home/20241029695993/en/Instabug-Launches-SmartResolve-2.0-Pioneering-Mobile-Crash-Resolution-Toward-Zero-Maintenance-Apps</t>
  </si>
  <si>
    <t xml:space="preserve">SmartResolve 2.0 verified; Series B via TechCrunch. [Reclassified 2026-08-01] Old Sector: 'Enterprise AI' -&gt; New: 'Health'. Old Entity Type: 'Startup' -&gt; New Ecosystem Type: 'Startup'. [Refined 2026-08-02] Sector set to 'Industry'. Maturity inferred as 'Established' (funding&gt;=5M ($46,000,000)).</t>
  </si>
  <si>
    <t xml:space="preserve">Arabic Speech AI / NLP</t>
  </si>
  <si>
    <t xml:space="preserve">Intella</t>
  </si>
  <si>
    <t xml:space="preserve">Egyptian-founded (2021) dialectal-Arabic speech-AI company; transcription/analytics across 25+ Arabic dialects; raised $12.5M Series A (2025).</t>
  </si>
  <si>
    <t xml:space="preserve">$12,500,000</t>
  </si>
  <si>
    <t xml:space="preserve">https://www.menabytes.com/intella-series-a/</t>
  </si>
  <si>
    <t xml:space="preserve">[Reclassified 2026-08-01] Old Sector: 'Enterprise AI' -&gt; New: 'Industry'. Old Entity Type: 'Startup' -&gt; New Ecosystem Type: 'Startup'. [Refined 2026-08-02] Sector set to 'Industry'. Maturity inferred as 'Established' (funding&gt;=5M ($12,500,000)).</t>
  </si>
  <si>
    <t xml:space="preserve">Imaging</t>
  </si>
  <si>
    <t xml:space="preserve">Intixel</t>
  </si>
  <si>
    <t xml:space="preserve">Medical image processing software using AI to assist radiologists in the early detection of breast cancer.</t>
  </si>
  <si>
    <t xml:space="preserve">Company website (Intixel)</t>
  </si>
  <si>
    <t xml:space="preserve">https://intixel.com/</t>
  </si>
  <si>
    <t xml:space="preserve">Energy &amp; Utilities</t>
  </si>
  <si>
    <t xml:space="preserve">KarmSolar</t>
  </si>
  <si>
    <t xml:space="preserve">Solar technology and integration company utilizing AI algorithms to optimize microgrid power distribution and solar yields.</t>
  </si>
  <si>
    <t xml:space="preserve">https://www.crunchbase.com/organization/karmsolar</t>
  </si>
  <si>
    <t xml:space="preserve">[Reclassified 2026-08-01] Old Sector: 'General' -&gt; New: 'Energy'. Old Entity Type: 'Startup' -&gt; New Ecosystem Type: 'Startup'. [Refined 2026-08-02] Sector set to 'Energy'. Maturity inferred as 'Early' (default for Startup/R&amp;D with no funding signal).</t>
  </si>
  <si>
    <t xml:space="preserve">Proptech / Real-Estate AI</t>
  </si>
  <si>
    <t xml:space="preserve">Keys AI</t>
  </si>
  <si>
    <t xml:space="preserve">AI tools for real estate: virtual property tours, price-estimation models and CRM for agents.</t>
  </si>
  <si>
    <t xml:space="preserve">Confirmed via dedicated research pass: real Algerian-French LLM research project (Daridja/Tamazight), not a conventional company. [Reclassified 2026-08-01] Old Sector: 'General' -&gt; New: 'Industry'. Old Entity Type: 'Startup' -&gt; New Ecosystem Type: 'Startup'. [Refined 2026-08-02] Sector set to 'Industry'. Maturity inferred as 'Early' (default for Startup/R&amp;D with no funding signal). [Web re-verification 2026-08-05] Status 'Not yet verified' -&gt; 'Not yet verified'. Only aggregator listicle sourcing (Today Africa) found; no official site or press coverage of an Egyptian real-estate 'Keys AI' located. keys-ai.io is an unrelated AI consulting company, so the entity's existence in Egypt rests on thin sourcing. Confirming source: https://todayafrica.co/ai-startups-in-egypt/</t>
  </si>
  <si>
    <t xml:space="preserve">AI Question Answering / NLP</t>
  </si>
  <si>
    <t xml:space="preserve">Kngine</t>
  </si>
  <si>
    <t xml:space="preserve">Egyptian AI question-answering engine (founded 2009 by Haytham &amp; Ashraf ElFadeel); backed by Sawari Ventures and Samsung NEXT ($775k disclosed); acquired by Samsung (Oct 2017) for Bixby.</t>
  </si>
  <si>
    <t xml:space="preserve">Acquisition news</t>
  </si>
  <si>
    <t xml:space="preserve">2017-10</t>
  </si>
  <si>
    <t xml:space="preserve">$775,000</t>
  </si>
  <si>
    <t xml:space="preserve">https://www.menabytes.com/samsung-kngine/</t>
  </si>
  <si>
    <t xml:space="preserve">One of Egypt's first AI exits; verified via MENAbytes. [Reclassified 2026-08-01] Old Sector: 'Enterprise AI' -&gt; New: 'Industry'. Old Entity Type: 'Startup' -&gt; New Ecosystem Type: 'Startup'. [Refined 2026-08-02] Sector set to 'Industry'. Maturity inferred as 'Early' (funding&lt;1M ($775,000)).</t>
  </si>
  <si>
    <t xml:space="preserve">Construction Tech</t>
  </si>
  <si>
    <t xml:space="preserve">Kuadra</t>
  </si>
  <si>
    <t xml:space="preserve">Applying AI and develops scalable SaaS solutions designed to structure workflows, integrate data, and improve decision-making for the planning and execution of large-scale construction projects. Acquired by Edafa VC.</t>
  </si>
  <si>
    <t xml:space="preserve">https://www.linkedin.com/company/kuadraai</t>
  </si>
  <si>
    <t xml:space="preserve">Single 2019 source - lower confidence, confirm current operating status. [Reclassified 2026-08-01] Old Sector: 'Enterprise AI' -&gt; New: 'Industry'. Old Entity Type: 'Startup' -&gt; New Ecosystem Type: 'Startup'. [Refined 2026-08-02] Sector set to 'Industry'. Maturity inferred as 'Early' (default for Startup/R&amp;D with no funding signal).</t>
  </si>
  <si>
    <t xml:space="preserve">Credit Scoring</t>
  </si>
  <si>
    <t xml:space="preserve">MNT-Halan</t>
  </si>
  <si>
    <t xml:space="preserve">FinTech unicorn utilizing advanced machine learning for credit scoring and fraud prevention.</t>
  </si>
  <si>
    <t xml:space="preserve">Company website (MNT-Halan)</t>
  </si>
  <si>
    <t xml:space="preserve">https://mnt-halan.com/</t>
  </si>
  <si>
    <t xml:space="preserve">Independently ranked #1 unicorn in Cairo by StartupBlink (startupblink.com/unicorn/mnt-halan), corroborating its FinTech-unicorn status. [Reclassified 2026-08-01] Old Sector: 'Fintech' -&gt; New: 'Industry'. Old Entity Type: 'Startup' -&gt; New Ecosystem Type: 'Startup'. [Refined 2026-08-02] Sector set to 'Industry'. Maturity inferred as 'Growth' (description mentions Series A/B/scaleup/expansion).</t>
  </si>
  <si>
    <t xml:space="preserve">Clinical AI / Medical NLP</t>
  </si>
  <si>
    <t xml:space="preserve">Mendel AI</t>
  </si>
  <si>
    <t xml:space="preserve">Clinical-AI company founded by Egyptian physician Karim Galil (San Jose + Cairo offices) structuring unstructured medical records; $18M Series A (June 2021, led by DCM); hires ML talent in Cairo.</t>
  </si>
  <si>
    <t xml:space="preserve">2021-06-07</t>
  </si>
  <si>
    <t xml:space="preserve">$18,000,000</t>
  </si>
  <si>
    <t xml:space="preserve">https://techcrunch.com/2021/06/07/mendel-raises-18m-to-tease-out-data-structure-from-medicines-disparate-document-trove/</t>
  </si>
  <si>
    <t xml:space="preserve">Cairo office and Egyptian founder verified. [Reclassified 2026-08-01] Old Sector: 'Healthtech' -&gt; New: 'Health'. Old Entity Type: 'Startup' -&gt; New Ecosystem Type: 'Startup'. [Refined 2026-08-02] Sector set to 'Health'. Maturity inferred as 'Established' (funding&gt;=5M ($18,000,000)).</t>
  </si>
  <si>
    <t xml:space="preserve">AI/NLP Financial Chatbots</t>
  </si>
  <si>
    <t xml:space="preserve">MerQ</t>
  </si>
  <si>
    <t xml:space="preserve">AI + NLP financial virtual-assistant chatbots (e.g. 'Sally' for credit-card comparison); founded 2018, Cairo.</t>
  </si>
  <si>
    <t xml:space="preserve">$800,000</t>
  </si>
  <si>
    <t xml:space="preserve">https://www.menabytes.com/egypt-merq-seed/</t>
  </si>
  <si>
    <t xml:space="preserve">AI/NLP fintech chatbots; $800k seed. [Reclassified 2026-08-01] Old Sector: 'Fintech' -&gt; New: 'Industry'. Old Entity Type: 'Startup' -&gt; New Ecosystem Type: 'Startup'. [Refined 2026-08-02] Sector set to 'Industry'. Maturity inferred as 'Early' (funding&lt;1M ($800,000)).</t>
  </si>
  <si>
    <t xml:space="preserve">Arabic AI Agents / Automation</t>
  </si>
  <si>
    <t xml:space="preserve">Nanovate</t>
  </si>
  <si>
    <t xml:space="preserve">Cairo AI startup (founded 2025) building Arabic-language AI tools - chat and voice agents, CRM/ERP integrations and no-code deployment; raised $2M pre-seed.</t>
  </si>
  <si>
    <t xml:space="preserve">$2,000,000</t>
  </si>
  <si>
    <t xml:space="preserve">https://disruptafrica.com/2025/11/21/how-egypts-nanovate-is-using-ai-to-help-mena-businesses-work-smarter-in-their-own-language/</t>
  </si>
  <si>
    <t xml:space="preserve">[Reclassified 2026-08-01] Old Sector: 'Enterprise AI' -&gt; New: 'Industry'. Old Entity Type: 'Startup' -&gt; New Ecosystem Type: 'Startup'. [Refined 2026-08-02] Sector set to 'Industry'. Maturity inferred as 'Growth' (funding 1-5M ($2,000,000)).</t>
  </si>
  <si>
    <t xml:space="preserve">AI-Powered Proptech</t>
  </si>
  <si>
    <t xml:space="preserve">Nawy</t>
  </si>
  <si>
    <t xml:space="preserve">Cairo-based proptech described as Africa's largest, whose platform uses AI for property search, recommendation and transaction infrastructure. Raised a $52M Series A led by Partech in May 2025 (plus ~$23M debt) to expand across MENA and advance its AI infrastructure.</t>
  </si>
  <si>
    <t xml:space="preserve">2025-05-12</t>
  </si>
  <si>
    <t xml:space="preserve">$52,000,000</t>
  </si>
  <si>
    <t xml:space="preserve">Partech Partners</t>
  </si>
  <si>
    <t xml:space="preserve">https://partechpartners.com/news/nawy-the-largest-proptech-in-africa-raises-a-52m-series-a-to-take-on-mena</t>
  </si>
  <si>
    <t xml:space="preserve">Lead investor's official announcement; corroborated by Wamda and TechCabal 2025 ecosystem review counting Nawy among Egypt's AI-linked rounds. [Added 2026-08-05 expansion pass]</t>
  </si>
  <si>
    <t xml:space="preserve">Conversational AI</t>
  </si>
  <si>
    <t xml:space="preserve">Olimi AI</t>
  </si>
  <si>
    <t xml:space="preserve">Multilingual voice agents capable of handling complex customer calls in local Arabic dialects.</t>
  </si>
  <si>
    <t xml:space="preserve">https://www.crunchbase.com/organization/olimi</t>
  </si>
  <si>
    <t xml:space="preserve">Source Type corrected from 'Primary' to 'Aggregator' for consistency with other Crunchbase-sourced rows [Reclassified 2026-08-01] Old Sector: 'Enterprise AI' -&gt; New: 'Industry'. Old Entity Type: 'Startup' -&gt; New Ecosystem Type: 'Startup'. [Refined 2026-08-02] Sector set to 'Industry'. Maturity inferred as 'Early' (default for Startup/R&amp;D with no funding signal).</t>
  </si>
  <si>
    <t xml:space="preserve">AI Supply Chain (Food)</t>
  </si>
  <si>
    <t xml:space="preserve">OneOrder</t>
  </si>
  <si>
    <t xml:space="preserve">Cairo restaurant-supply platform building an AI/ML-driven operating system for restaurant supply chains; raised $16M (equity+debt) Series A (2024) to expand to GCC.</t>
  </si>
  <si>
    <t xml:space="preserve">$16,000,000</t>
  </si>
  <si>
    <t xml:space="preserve">Techpoint Africa</t>
  </si>
  <si>
    <t xml:space="preserve">https://techpoint.africa/news/egypts-oneorder-secures-series-a/</t>
  </si>
  <si>
    <t xml:space="preserve">Series A verified; AI/ML OS statement from TechCrunch. [Reclassified 2026-08-01] Old Sector: 'General' -&gt; New: 'Industry'. Old Entity Type: 'Startup' -&gt; New Ecosystem Type: 'Startup'. [Refined 2026-08-02] Sector set to 'Agriculture'. Maturity inferred as 'Established' (funding&gt;=5M ($16,000,000)). [Audit 2026-08-05] Sector corrected: 'Agriculture' -&gt; 'Industry'. [Audit 2026-08-05] Reason: restaurant supply-chain logistics, not agriculture production</t>
  </si>
  <si>
    <t xml:space="preserve">AI/ML &amp; Optimization Consulting</t>
  </si>
  <si>
    <t xml:space="preserve">Optomatica</t>
  </si>
  <si>
    <t xml:space="preserve">Cairo deep-tech company (founder Dr. Mohammed El-Beltagy) specializing in AI, ML and optimization for fintech, healthtech, sports tech and conversational AI; PhD-heavy team, 15+ patents.</t>
  </si>
  <si>
    <t xml:space="preserve">Optomatica (official)</t>
  </si>
  <si>
    <t xml:space="preserve">https://optomatica.com/</t>
  </si>
  <si>
    <t xml:space="preserve">Founder recognized by MIT Tech Review / TIME. [Reclassified 2026-08-01] Old Sector: 'Healthtech' -&gt; New: 'Health'. Old Entity Type: 'Startup' -&gt; New Ecosystem Type: 'Startup'. [Refined 2026-08-02] Sector set to 'Health'. Maturity inferred as 'Early' (default for Startup/R&amp;D with no funding signal).</t>
  </si>
  <si>
    <t xml:space="preserve">AI Diabetes Management</t>
  </si>
  <si>
    <t xml:space="preserve">Otida</t>
  </si>
  <si>
    <t xml:space="preserve">Egyptian digital therapeutics startup offering an AI-supported diabetes management app combining nutrition tracking, coaching and data-driven care plans. Raised a $340,000 pre-seed round in March 2022 to expand its team and product.</t>
  </si>
  <si>
    <t xml:space="preserve">2022-03-28</t>
  </si>
  <si>
    <t xml:space="preserve">$340,000</t>
  </si>
  <si>
    <t xml:space="preserve">https://www.wamda.com/en/2022/03/otida-raises-340000-diet-management-app</t>
  </si>
  <si>
    <t xml:space="preserve">Pre-seed round confirmed by Wamda and TechMoran; company also profiled on Tracxn and Dealroom. [Added 2026-08-05 expansion pass]</t>
  </si>
  <si>
    <t xml:space="preserve">AI Protein Engineering / TechBio</t>
  </si>
  <si>
    <t xml:space="preserve">Proteinea</t>
  </si>
  <si>
    <t xml:space="preserve">Integrates AI with biotech for protein engineering and biomanufacturing; built the 'Ankh' protein language model; Cairo + Cambridge MA; founded 2020.</t>
  </si>
  <si>
    <t xml:space="preserve">Deeptech Egypt / Crunchbase</t>
  </si>
  <si>
    <t xml:space="preserve">https://www.deeptechegypt.com/2024/02/15/proteinea-new-language-biotech/</t>
  </si>
  <si>
    <t xml:space="preserve">Official site verified; corroborated by Crunchbase. [Reclassified 2026-08-01] Old Sector: 'Enterprise AI' -&gt; New: 'Industry'. Old Entity Type: 'Startup' -&gt; New Ecosystem Type: 'Startup'. [Refined 2026-08-02] Sector set to 'Industry'. Maturity inferred as 'Early' (default for Startup/R&amp;D with no funding signal).</t>
  </si>
  <si>
    <t xml:space="preserve">Utilities / Smart Grid AI</t>
  </si>
  <si>
    <t xml:space="preserve">Pylon</t>
  </si>
  <si>
    <t xml:space="preserve">Cairo-founded infrastructure-management platform providing smart metering and data analytics (including loss detection) for water and electricity distribution companies in emerging markets. Raised a $19M seed round in April 2022 led by Endure Capital.</t>
  </si>
  <si>
    <t xml:space="preserve">2022-04-12</t>
  </si>
  <si>
    <t xml:space="preserve">$19,000,000</t>
  </si>
  <si>
    <t xml:space="preserve">https://techcrunch.com/2022/04/12/egypts-pylon-gets-19m-to-scale-software-for-water-and-electricity-distribution-companies</t>
  </si>
  <si>
    <t xml:space="preserve">Confirmed via TechCrunch funding report; corroborated by Wamda and Arab News coverage of the same round. [Added 2026-08-05 expansion pass]</t>
  </si>
  <si>
    <t xml:space="preserve">AI Agronomy Super-App</t>
  </si>
  <si>
    <t xml:space="preserve">Qamhawey (Mahaseel Technologies)</t>
  </si>
  <si>
    <t xml:space="preserve">AI-driven farming super-app by Cairo-based Mahaseel Technologies offering image-based crop disease detection, Egyptian-dialect voice interaction (speech-to-text/text-to-speech), yield forecasting, soil monitoring and market price insights. Reports serving 10,000+ farmers across 150+ crop types.</t>
  </si>
  <si>
    <t xml:space="preserve">Qamhawey (official site)</t>
  </si>
  <si>
    <t xml:space="preserve">https://qamhawey.com/</t>
  </si>
  <si>
    <t xml:space="preserve">Verified on the official product website; also featured in WAYA Media's Egypt agritech sector review. [Added 2026-08-05 expansion pass]</t>
  </si>
  <si>
    <t xml:space="preserve">AI Queue Management</t>
  </si>
  <si>
    <t xml:space="preserve">Qme</t>
  </si>
  <si>
    <t xml:space="preserve">Real-time AI-powered digital queue-management app automating customer flow across service branches.</t>
  </si>
  <si>
    <t xml:space="preserve">MarkTechPost</t>
  </si>
  <si>
    <t xml:space="preserve">https://www.marktechpost.com/2023/03/16/top-innovative-ai-based-startups-in-egypt-2023/</t>
  </si>
  <si>
    <t xml:space="preserve">Source Name corrected to match URL domain [Reclassified 2026-08-01] Old Sector: 'Enterprise AI' -&gt; New: 'Industry'. Old Entity Type: 'Startup' -&gt; New Ecosystem Type: 'Startup'. [Refined 2026-08-02] Sector set to 'Industry'. Maturity inferred as 'Early' (default for Startup/R&amp;D with no funding signal). [Web re-verification 2026-08-05] Status 'Not yet verified' -&gt; 'Verified'. Egyptian queue-management SaaS confirmed by official site qme.solutions and multiple press reports of its $3M seed round (Feb 2025, led by UAE-based AHOY). Confirming source: https://technext24.com/2025/02/17/egypts-qme-raises-3-million-seed-funding/ Correction noted: Row lists funding N/A, but Qme raised a $3M seed round in February 2025. [Web re-verification 2026-08-05] Recent Funding 'N/A' -&gt; '$3,000,000' per verified round.</t>
  </si>
  <si>
    <t xml:space="preserve">Logistics / Last-Mile Delivery</t>
  </si>
  <si>
    <t xml:space="preserve">Roboost</t>
  </si>
  <si>
    <t xml:space="preserve">AI-powered delivery SaaS with auto-dispatching, smart routing and an AI operations copilot; clients include McDonald's Egypt and El Ezaby Pharmacies.</t>
  </si>
  <si>
    <t xml:space="preserve">2024-01</t>
  </si>
  <si>
    <t xml:space="preserve">https://www.wamda.com/2024/01/egypt-roboost-raises-3-million-investment</t>
  </si>
  <si>
    <t xml:space="preserve">$3M round led by Silicon Badia; AI logistics confirmed. [Reclassified 2026-08-01] Old Sector: 'Enterprise AI' -&gt; New: 'Health'. Old Entity Type: 'Startup' -&gt; New Ecosystem Type: 'Startup'. [Refined 2026-08-02] Sector set to 'Industry'. Maturity inferred as 'Growth' (funding 1-5M ($3,000,000)).</t>
  </si>
  <si>
    <t xml:space="preserve">Rology</t>
  </si>
  <si>
    <t xml:space="preserve">On-demand teleradiology platform integrating Artificial Intelligence directly into both the clinical and operational layers of teleradiology. connecting hospitals with remote radiologists using AI.</t>
  </si>
  <si>
    <t xml:space="preserve">Company website (Rology)</t>
  </si>
  <si>
    <t xml:space="preserve">https://rology.health/</t>
  </si>
  <si>
    <t xml:space="preserve">E-mobility / Fleet Electrification</t>
  </si>
  <si>
    <t xml:space="preserve">Shift EV</t>
  </si>
  <si>
    <t xml:space="preserve">Cairo-based startup that retrofits fuel-powered commercial fleet vehicles into electric ones using proprietary in-house batteries, with a real-time sensor-data connectivity platform for remote vehicle performance monitoring. Raised an undisclosed Series A in April 2022 from Union Square Ventures, Algebra Ventures, Wamda and Oman Technology Fund.</t>
  </si>
  <si>
    <t xml:space="preserve">2022-04</t>
  </si>
  <si>
    <t xml:space="preserve">https://www.wamda.com/2022/04/shift-ev-expand-mena-raising-series-round</t>
  </si>
  <si>
    <t xml:space="preserve">Verified via Wamda (an investor in the round) article detailing the Series A and the vehicle data platform. [Added 2026-08-05 expansion pass]</t>
  </si>
  <si>
    <t xml:space="preserve">Edtech / AI Talent Training</t>
  </si>
  <si>
    <t xml:space="preserve">Sprints</t>
  </si>
  <si>
    <t xml:space="preserve">AI-powered edtech bridging the MEA tech-talent gap via upskilling bootcamps with guaranteed hiring; founded 2020.</t>
  </si>
  <si>
    <t xml:space="preserve">2024-03</t>
  </si>
  <si>
    <t xml:space="preserve">https://www.wamda.com/2024/03/egypt-sprints-raises-3-million-bridge-round</t>
  </si>
  <si>
    <t xml:space="preserve">$3M bridge round; AI-powered edtech. [Reclassified 2026-08-01] Old Sector: 'General' -&gt; New: 'Education'. Old Entity Type: 'Startup' -&gt; New Ecosystem Type: 'Startup'. [Refined 2026-08-02] Sector set to 'Education'. Maturity inferred as 'Growth' (funding 1-5M ($3,000,000)).</t>
  </si>
  <si>
    <t xml:space="preserve">Autotech / AI Pricing</t>
  </si>
  <si>
    <t xml:space="preserve">Sylndr</t>
  </si>
  <si>
    <t xml:space="preserve">Cairo used-car platform (founded 2021) for buying, selling, financing and servicing cars; $15.7M Series A (May 2025, DPI via Nclude) partly to refine AI-driven pricing; total funding &gt;$30M.</t>
  </si>
  <si>
    <t xml:space="preserve">2025-05-19</t>
  </si>
  <si>
    <t xml:space="preserve">$15,700,000</t>
  </si>
  <si>
    <t xml:space="preserve">https://techcrunch.com/2025/05/19/sylndr-with-fresh-15-7m-allows-users-to-buy-sell-finance-and-service-used-cars-in-egypt/</t>
  </si>
  <si>
    <t xml:space="preserve">Round and AI-pricing plans verified via TechCrunch. [Reclassified 2026-08-01] Old Sector: 'General' -&gt; New: 'Industry'. Old Entity Type: 'Startup' -&gt; New Ecosystem Type: 'Startup'. [Refined 2026-08-02] Sector set to 'Industry'. Maturity inferred as 'Established' (funding&gt;=5M ($15,700,000)).</t>
  </si>
  <si>
    <t xml:space="preserve">Synapse Analytics</t>
  </si>
  <si>
    <t xml:space="preserve">AI-based credit scoring engines and risk management algorithms that automate lending decisions.</t>
  </si>
  <si>
    <t xml:space="preserve">Company website (Synapse Analytics)</t>
  </si>
  <si>
    <t xml:space="preserve">https://synapse-analytics.io/</t>
  </si>
  <si>
    <t xml:space="preserve">Verified: founded 2018 by Ahmed Abaza &amp; Galal El Beshbishy; flagship 'Konan' MLOps/AI credit-scoring platform; raised $2M (2024) led by Silicon Badia &amp; Hub71; Aug-2025 partnership with credit bureau iScore for an AI credit-decisioning platform. Funding updated Undisclosed -&gt; $2,000,000; ref date set to founding year. [Reclassified 2026-08-01] Old Sector: 'Enterprise AI' -&gt; New: 'Industry'. Old Entity Type: 'Startup' -&gt; New Ecosystem Type: 'Startup'. [Refined 2026-08-02] Sector set to 'Industry'. Maturity inferred as 'Growth' (funding 1-5M ($2,000,000)).</t>
  </si>
  <si>
    <t xml:space="preserve">Conversational AI / CX</t>
  </si>
  <si>
    <t xml:space="preserve">Tactful AI</t>
  </si>
  <si>
    <t xml:space="preserve">Egypt-founded unified CX platform (omnichannel contact center, Arabic chatbots, conversational analytics); acquired by Dstny (2022), reacquired by founders (2025); raised $1M pre-Series A (Feb 2026) for agentic CX.</t>
  </si>
  <si>
    <t xml:space="preserve">2026-02-11</t>
  </si>
  <si>
    <t xml:space="preserve">https://disruptafrica.com/2026/02/11/egypts-tactful-ai-raises-1m-pre-series-a-to-build-agentic-customer-experience-infrastructure/</t>
  </si>
  <si>
    <t xml:space="preserve">[Reclassified 2026-08-01] Old Sector: 'Enterprise AI' -&gt; New: 'Industry'. Old Entity Type: 'Startup' -&gt; New Ecosystem Type: 'Startup'. [Refined 2026-08-02] Sector set to 'Industry'. Maturity inferred as 'Growth' (funding 1-5M ($1,000,000)).</t>
  </si>
  <si>
    <t xml:space="preserve">HR-tech / AI Recruitment</t>
  </si>
  <si>
    <t xml:space="preserve">Talents Arena</t>
  </si>
  <si>
    <t xml:space="preserve">AI recruitment platform with a talent-mining engine and automation; 180,000+ job matches; founded 2019.</t>
  </si>
  <si>
    <t xml:space="preserve">2023-08</t>
  </si>
  <si>
    <t xml:space="preserve">$750,000</t>
  </si>
  <si>
    <t xml:space="preserve">https://disruptafrica.com/2023/08/10/egyptian-ai-recruitment-startup-talents-arena-raises-750k-pre-seed-round-for-saudi-expansion/</t>
  </si>
  <si>
    <t xml:space="preserve">$750k pre-seed; AI recruitment engine. [Reclassified 2026-08-01] Old Sector: 'Enterprise AI' -&gt; New: 'Industry'. Old Entity Type: 'Startup' -&gt; New Ecosystem Type: 'Startup'. [Refined 2026-08-02] Sector set to 'Industry'. Maturity inferred as 'Early' (funding&lt;1M ($750,000)).</t>
  </si>
  <si>
    <t xml:space="preserve">Logistics &amp; Transportation</t>
  </si>
  <si>
    <t xml:space="preserve">Trella</t>
  </si>
  <si>
    <t xml:space="preserve">AI-driven B2B technology platform connecting shippers with carriers, optimizing routes and pricing.</t>
  </si>
  <si>
    <t xml:space="preserve">$42,000,000</t>
  </si>
  <si>
    <t xml:space="preserve">https://www.crunchbase.com/organization/trella</t>
  </si>
  <si>
    <t xml:space="preserve">[Reclassified 2026-08-01] Old Sector: 'Enterprise AI' -&gt; New: 'Industry'. Old Entity Type: 'Startup' -&gt; New Ecosystem Type: 'Startup'. [Refined 2026-08-02] Sector set to 'Industry'. Maturity inferred as 'Established' (funding&gt;=5M ($42,000,000)).</t>
  </si>
  <si>
    <t xml:space="preserve">Geospatial AI Agriculture</t>
  </si>
  <si>
    <t xml:space="preserve">VAIS (Visual and AI Solutions)</t>
  </si>
  <si>
    <t xml:space="preserve">Deep-tech firm with patent-pending Virtual Field Probing for sensor-free crop/irrigation intelligence via multi-satellite data (FarmGuru SaaS); founded 2020, Giza.</t>
  </si>
  <si>
    <t xml:space="preserve">VAIS official</t>
  </si>
  <si>
    <t xml:space="preserve">https://vais.ai/</t>
  </si>
  <si>
    <t xml:space="preserve">AI geospatial agritech; BFA Catalyst Fund investment. [Reclassified 2026-08-01] Old Sector: 'Agritech' -&gt; New: 'Agriculture'. Old Entity Type: 'Startup' -&gt; New Ecosystem Type: 'Startup'. [Refined 2026-08-02] Sector set to 'Agriculture'. Maturity inferred as 'Early' (default for Startup/R&amp;D with no funding signal).</t>
  </si>
  <si>
    <t xml:space="preserve">Digital Health / Care Navigation</t>
  </si>
  <si>
    <t xml:space="preserve">Vezeeta</t>
  </si>
  <si>
    <t xml:space="preserve">Cairo-founded digital healthcare booking and telehealth platform using data-driven and AI-assisted doctor search and practice-management tools across MENA. Raised a $40M Series D led by Gulf Capital in February 2020, one of Egypt's largest healthtech rounds.</t>
  </si>
  <si>
    <t xml:space="preserve">2020-02-11</t>
  </si>
  <si>
    <t xml:space="preserve">$40,000,000</t>
  </si>
  <si>
    <t xml:space="preserve">https://www.menabytes.com/vezeeta-series-d/</t>
  </si>
  <si>
    <t xml:space="preserve">Series D confirmed by multiple reputable outlets (MENAbytes, Disrupt Africa, The National). [Added 2026-08-05 expansion pass]</t>
  </si>
  <si>
    <t xml:space="preserve">Computer Vision / Deep Learning</t>
  </si>
  <si>
    <t xml:space="preserve">Webville</t>
  </si>
  <si>
    <t xml:space="preserve">Computer-vision deep-learning models for security, media, fashion and gaming; product Artville automates e-commerce photo editing.</t>
  </si>
  <si>
    <t xml:space="preserve">AI protein language model (Ankh); seed with IndieBio, Shorooq. [Reclassified 2026-08-01] Old Sector: 'Healthtech' -&gt; New: 'Industry'. Old Entity Type: 'Startup' -&gt; New Ecosystem Type: 'Startup'. [Refined 2026-08-02] Sector set to 'Industry'. Maturity inferred as 'Early' (default for Startup/R&amp;D with no funding signal). [Web re-verification 2026-08-05] Status 'Not yet verified' -&gt; 'Verified'. Official site webville.io exists and Webville appeared in independent press (Zawya/Egypt Today/Daily News Egypt coverage of Egyptian startups at 4YFN 2021) as an Egyptian computer-vision/deep-learning company; Artville is its product. Confirming source: https://webville.io/</t>
  </si>
  <si>
    <t xml:space="preserve">AI/ML Supply-Chain Marketplace</t>
  </si>
  <si>
    <t xml:space="preserve">Weelo</t>
  </si>
  <si>
    <t xml:space="preserve">Digital B2B marketplace using ML, AI and predictive analytics for retailer-supplier ordering and warehouse auditing.</t>
  </si>
  <si>
    <t xml:space="preserve">[Reclassified 2026-08-01] Old Sector: 'Enterprise AI' -&gt; New: 'Industry'. Old Entity Type: 'Startup' -&gt; New Ecosystem Type: 'Startup'. [Refined 2026-08-02] Sector set to 'Industry'. Maturity inferred as 'Early' (default for Startup/R&amp;D with no funding signal). [Web re-verification 2026-08-05] Status 'Not yet verified' -&gt; 'Verified'. Disrupt Africa covered Weelo's six-figure seed round (2021) as an Egyptian retail-tech/digital supply chain platform connecting retailers and suppliers; Entrepreneur ME also profiled it. Confirming source: https://disruptafrica.com/2021/03/31/egyptian-retail-tech-platform-weelo-raises-6-figure-seed-round/</t>
  </si>
  <si>
    <t xml:space="preserve">WideBot</t>
  </si>
  <si>
    <t xml:space="preserve">Platform for building Arabic-focused chatbots capable of detecting sentiment and slang nuances.</t>
  </si>
  <si>
    <t xml:space="preserve">Company website (WideBot)</t>
  </si>
  <si>
    <t xml:space="preserve">https://widebot.net/</t>
  </si>
  <si>
    <t xml:space="preserve">Confirmed via dedicated research pass. Note: multiple unrelated 'Sygma' entities exist - confirmed this refers to the Moroccan car-damage-assessment AI company. [Reclassified 2026-08-01] Old Sector: 'Enterprise AI' -&gt; New: 'Industry'. Old Entity Type: 'Startup' -&gt; New Ecosystem Type: 'Startup'. [Refined 2026-08-02] Sector set to 'Industry'. Maturity inferred as 'Early' (default for Startup/R&amp;D with no funding signal).</t>
  </si>
  <si>
    <t xml:space="preserve">Satellite/GIS Precision Agriculture</t>
  </si>
  <si>
    <t xml:space="preserve">Zr3i</t>
  </si>
  <si>
    <t xml:space="preserve">SaaS using satellite imaging, remote sensing and AI for crop monitoring for smallholder farmers; MENA's first date-palm carbon MRV platform; founded 2021.</t>
  </si>
  <si>
    <t xml:space="preserve">Company / funding profile</t>
  </si>
  <si>
    <t xml:space="preserve">$950,000</t>
  </si>
  <si>
    <t xml:space="preserve">https://www.crunchbase.com/organization/digi-agri</t>
  </si>
  <si>
    <t xml:space="preserve">AI satellite agritech; ~$950k seed-II. [Reclassified 2026-08-01] Old Sector: 'Agritech' -&gt; New: 'Agriculture'. Old Entity Type: 'Startup' -&gt; New Ecosystem Type: 'Startup'. [Refined 2026-08-02] Sector set to 'Agriculture'. Maturity inferred as 'Early' (funding&lt;1M ($950,000)).</t>
  </si>
  <si>
    <t xml:space="preserve">Edtech / K-12 Coding &amp; AI</t>
  </si>
  <si>
    <t xml:space="preserve">iSchool</t>
  </si>
  <si>
    <t xml:space="preserve">Gamified online platform teaching coding, AI and VR to ages 6-18; 26,000+ live learners; founded 2018.</t>
  </si>
  <si>
    <t xml:space="preserve">$4,500,000</t>
  </si>
  <si>
    <t xml:space="preserve">https://www.wamda.com/2023/12/egypt-ischool-45-million-accelerate-global-expansion</t>
  </si>
  <si>
    <t xml:space="preserve">$4.5M round; AI/coding curriculum. [Reclassified 2026-08-01] Old Sector: 'General' -&gt; New: 'Education'. Old Entity Type: 'Startup' -&gt; New Ecosystem Type: 'Startup'. [Refined 2026-08-02] Sector set to 'Education'. Maturity inferred as 'Growth' (funding 1-5M ($4,500,000)).</t>
  </si>
  <si>
    <t xml:space="preserve">France</t>
  </si>
  <si>
    <t xml:space="preserve">Bpifrance</t>
  </si>
  <si>
    <t xml:space="preserve">French public investment bank; co-operates France 2030 AI funding and is a direct shareholder in national AI champions including Mistral AI.</t>
  </si>
  <si>
    <t xml:space="preserve">2026-08-18</t>
  </si>
  <si>
    <t xml:space="preserve">Mistral AI (official)</t>
  </si>
  <si>
    <t xml:space="preserve">https://mistral.ai/news/mistral-ai-raises-1-7-b-to-accelerate-technological-progress-with-ai/</t>
  </si>
  <si>
    <t xml:space="preserve">Merged from the northern-Mediterranean extension. Original taxonomy: sector 'General', application sector 'Finance', entity type 'Investor'. Maturity not recorded in the source.</t>
  </si>
  <si>
    <t xml:space="preserve">Drysdale Ventures</t>
  </si>
  <si>
    <t xml:space="preserve">Venture firm active in the French AI ecosystem, cited on the emerging second wave of French AI startups in robotics, voice and inference optimisation.</t>
  </si>
  <si>
    <t xml:space="preserve">Tech Funding News</t>
  </si>
  <si>
    <t xml:space="preserve">https://techfundingnews.com/france-second-wave-ai-startups-2025/</t>
  </si>
  <si>
    <t xml:space="preserve">Startup Campus</t>
  </si>
  <si>
    <t xml:space="preserve">STATION F</t>
  </si>
  <si>
    <t xml:space="preserve">Paris startup campus, the largest in Europe, hosting a dense concentration of French AI companies including Hugging Face and Clipdrop, and running sector accelerator programmes.</t>
  </si>
  <si>
    <t xml:space="preserve">STATION F (official)</t>
  </si>
  <si>
    <t xml:space="preserve">https://stationf.co/news/meta-aiprogram</t>
  </si>
  <si>
    <t xml:space="preserve">Merged from the northern-Mediterranean extension. Original taxonomy: sector 'General', application sector 'Cross-sector', entity type 'Hub'. Maturity not recorded in the source.</t>
  </si>
  <si>
    <t xml:space="preserve">Accelerator</t>
  </si>
  <si>
    <t xml:space="preserve">STATION F AI Startup Program</t>
  </si>
  <si>
    <t xml:space="preserve">Six-month accelerator at STATION F led by Meta with Hugging Face and Scaleway, helping European startups build on open foundation models; ran September 2024 to February 2025 with mentoring and compute access.</t>
  </si>
  <si>
    <t xml:space="preserve">Programme</t>
  </si>
  <si>
    <t xml:space="preserve">Wikipedia (Hugging Face)</t>
  </si>
  <si>
    <t xml:space="preserve">https://en.wikipedia.org/wiki/Hugging_Face</t>
  </si>
  <si>
    <t xml:space="preserve">Corroborated by STATION F's own announcement page. | Merged from the northern-Mediterranean extension. Original taxonomy: sector 'General', application sector 'Education', entity type 'Hub'. Maturity not recorded in the source.</t>
  </si>
  <si>
    <t xml:space="preserve">Public Interest Foundation</t>
  </si>
  <si>
    <t xml:space="preserve">Current AI</t>
  </si>
  <si>
    <t xml:space="preserve">Initiative set up to reshape the AI landscape by developing and supporting large-scale projects serving the public interest.</t>
  </si>
  <si>
    <t xml:space="preserve">OECD.AI Policy Observatory</t>
  </si>
  <si>
    <t xml:space="preserve">Aggregator (Intergovernmental)</t>
  </si>
  <si>
    <t xml:space="preserve">https://oecd.ai/en/dashboards/policy-initiatives/national-strategy-on-ai-5864</t>
  </si>
  <si>
    <t xml:space="preserve">Thin description in source; confirm governance and funding independently. | Merged from the northern-Mediterranean extension. Original taxonomy: sector 'General', application sector 'Cross-sector', entity type 'Hub'. Maturity not recorded in the source.</t>
  </si>
  <si>
    <t xml:space="preserve">French AI ecosystem (aggregate indicators)</t>
  </si>
  <si>
    <t xml:space="preserve">Reference datapoint: France reports 1,000+ AI startups including 16 unicorns, EUR 1.9bn raised by French AI startups in 2024, 41 inbound AI investment projects, and rank as the top European destination for foreign AI investment.</t>
  </si>
  <si>
    <t xml:space="preserve">Business France</t>
  </si>
  <si>
    <t xml:space="preserve">https://www.businessfrance.fr/en/invest-in-france/key-sectors/artificial-intelligence</t>
  </si>
  <si>
    <t xml:space="preserve">Aggregate row, not a single entity; kept for benchmarking against other countries. | Merged from the northern-Mediterranean extension. Original taxonomy: sector 'General', application sector 'Cross-sector', entity type 'Hub'. Maturity not recorded in the source.</t>
  </si>
  <si>
    <t xml:space="preserve">Research Institutes</t>
  </si>
  <si>
    <t xml:space="preserve">3IA Interdisciplinary Institutes for Artificial Intelligence</t>
  </si>
  <si>
    <t xml:space="preserve">Network of AI research and training hubs created in 2019 (Grenoble, Nice, Paris, Toulouse), later extended through the AI Cluster initiative; each funds PhD and postdoctoral positions.</t>
  </si>
  <si>
    <t xml:space="preserve">Government programme</t>
  </si>
  <si>
    <t xml:space="preserve">OECD (EU Coordinated Plan country note)</t>
  </si>
  <si>
    <t xml:space="preserve">Primary (Intergovernmental)</t>
  </si>
  <si>
    <t xml:space="preserve">https://www.oecd.org/content/dam/oecd/en/publications/reports/2025/10/progress-in-implementing-the-european-union-coordinated-plan-on-artificial-intelligence-volume-1-country-notes_b0385317/france_989746d5/3e109fb4-en.pdf</t>
  </si>
  <si>
    <t xml:space="preserve">Merged from the northern-Mediterranean extension. Original taxonomy: sector 'Policy', application sector 'Education', entity type 'Policy'. Maturity not recorded in the source.</t>
  </si>
  <si>
    <t xml:space="preserve">AI for Humanity (National AI Strategy, Phase 1)</t>
  </si>
  <si>
    <t xml:space="preserve">First phase of France's national AI strategy, launched 2018 following the Villani report, structuring national AI research with an initial EUR 1.5bn and creating the 3IA institute network.</t>
  </si>
  <si>
    <t xml:space="preserve">EUR 1,500,000,000</t>
  </si>
  <si>
    <t xml:space="preserve">Merged from the northern-Mediterranean extension. Original taxonomy: sector 'Policy', application sector 'Government', entity type 'Policy'. Maturity not recorded in the source.</t>
  </si>
  <si>
    <t xml:space="preserve">Skills Development</t>
  </si>
  <si>
    <t xml:space="preserve">Competences et metiers d'avenir (AI skills programme)</t>
  </si>
  <si>
    <t xml:space="preserve">France 2030 expression-of-interest scheme targeting the training of 400,000 individuals annually by 2030, including expanded CIFRE industrial doctoral contracts aimed at ~1,500 AI contracts per year.</t>
  </si>
  <si>
    <t xml:space="preserve">R&amp;D Funding</t>
  </si>
  <si>
    <t xml:space="preserve">France 2030 breakthrough AI R&amp;D programme</t>
  </si>
  <si>
    <t xml:space="preserve">Competitive three-phase funding programme for breakthrough AI R&amp;D by startups, SMEs, labs and consortia, from EUR 100K feasibility grants up to EUR 8M for market application. Operated by Bpifrance and the Agence de programmes Numerique (Inria).</t>
  </si>
  <si>
    <t xml:space="preserve">https://oecd.ai/en/dashboards/policy-initiatives/france-ai-8847</t>
  </si>
  <si>
    <t xml:space="preserve">SME AI Adoption</t>
  </si>
  <si>
    <t xml:space="preserve">IA Booster France 2030</t>
  </si>
  <si>
    <t xml:space="preserve">National programme supporting AI adoption and digital transformation among French SMEs, run under the France 2030 plan with synergies sought with AI-focused European Digital Innovation Hubs.</t>
  </si>
  <si>
    <t xml:space="preserve">Merged from the northern-Mediterranean extension. Original taxonomy: sector 'Policy', application sector 'Industry', entity type 'Policy'. Maturity not recorded in the source.</t>
  </si>
  <si>
    <t xml:space="preserve">AI Safety Institute</t>
  </si>
  <si>
    <t xml:space="preserve">INESIA (National Institute for AI Evaluation and Security)</t>
  </si>
  <si>
    <t xml:space="preserve">French national body created to coordinate AI evaluation and safety oversight, working alongside CNIL supervision and EU AI Act implementation.</t>
  </si>
  <si>
    <t xml:space="preserve">Nucamp (sector guide)</t>
  </si>
  <si>
    <t xml:space="preserve">https://www.nucamp.co/blog/coding-bootcamp-france-fra-government-the-complete-guide-to-using-ai-in-the-government-industry-in-france-in-2025</t>
  </si>
  <si>
    <t xml:space="preserve">Single SEO-grade source; confirm founding decree and mandate against a government publication. | Merged from the northern-Mediterranean extension. Original taxonomy: sector 'Policy', application sector 'Government', entity type 'Policy'. Maturity not recorded in the source.</t>
  </si>
  <si>
    <t xml:space="preserve">Compute Infrastructure</t>
  </si>
  <si>
    <t xml:space="preserve">Jean Zay supercomputer extension</t>
  </si>
  <si>
    <t xml:space="preserve">EUR 40M France 2030 investment to upgrade the GPU architecture of the Jean Zay supercomputer, operated by CNRS at IDRIS in Orsay, intended to make it France's largest AI-dedicated machine.</t>
  </si>
  <si>
    <t xml:space="preserve">EUR 40,000,000</t>
  </si>
  <si>
    <t xml:space="preserve">National AI Strategy, Phase 3 (dissemination)</t>
  </si>
  <si>
    <t xml:space="preserve">Third phase launched 2025, shifting from research and innovation toward widespread AI adoption across society, businesses and public services.</t>
  </si>
  <si>
    <t xml:space="preserve">National Strategy for AI, Phase 2 (France 2030)</t>
  </si>
  <si>
    <t xml:space="preserve">Second phase adopted November 2021 within the France 2030 plan, targeting a doubling of AI specialists by 2030, three French institutions in the global AI top 50, and EUR 2.22bn total allocation. Coordinated by the National AI Coordinator via the SGPI.</t>
  </si>
  <si>
    <t xml:space="preserve">EUR 2,220,000,000</t>
  </si>
  <si>
    <t xml:space="preserve">European Commission Digital Skills and Jobs Platform</t>
  </si>
  <si>
    <t xml:space="preserve">Primary (EU)</t>
  </si>
  <si>
    <t xml:space="preserve">https://digital-skills-jobs.europa.eu/en/actions/national-initiatives/national-strategies/france-national-strategy-ai</t>
  </si>
  <si>
    <t xml:space="preserve">Health AI Strategy</t>
  </si>
  <si>
    <t xml:space="preserve">Strategie intelligence artificielle et donnees de sante 2025-2028</t>
  </si>
  <si>
    <t xml:space="preserve">Government initiative launched July 2025 to structure health-data use and AI deployment: access, sharing, quality, governance, infrastructure and training, aligned with EU data regulation.</t>
  </si>
  <si>
    <t xml:space="preserve">2025-07</t>
  </si>
  <si>
    <t xml:space="preserve">Merged from the northern-Mediterranean extension. Original taxonomy: sector 'Policy', application sector 'Healthcare', entity type 'Policy'. Maturity not recorded in the source.</t>
  </si>
  <si>
    <t xml:space="preserve">Public Research</t>
  </si>
  <si>
    <t xml:space="preserve">Inria</t>
  </si>
  <si>
    <t xml:space="preserve">French national institute for research in digital science and technology; operates the Agence de programmes Numerique and co-runs France 2030 AI R&amp;D funding with Bpifrance.</t>
  </si>
  <si>
    <t xml:space="preserve">Merged from the northern-Mediterranean extension. Original taxonomy: sector 'General', application sector 'Education', entity type 'Hub'. Maturity not recorded in the source.</t>
  </si>
  <si>
    <t xml:space="preserve">Open Research Lab</t>
  </si>
  <si>
    <t xml:space="preserve">Kyutai</t>
  </si>
  <si>
    <t xml:space="preserve">Paris open-science AI research laboratory working on open-source models and voice AI, cited among France's leading AI organisations with a valuation around EUR 1bn.</t>
  </si>
  <si>
    <t xml:space="preserve">Stema Partners (ecosystem review)</t>
  </si>
  <si>
    <t xml:space="preserve">https://www.stemapartners.com/blog/startups-ia-france/</t>
  </si>
  <si>
    <t xml:space="preserve">Valuation figure from a consultancy blog; confirm against kyutai.org. | Merged from the northern-Mediterranean extension. Original taxonomy: sector 'General', application sector 'Education', entity type 'Hub'. Maturity not recorded in the source.</t>
  </si>
  <si>
    <t xml:space="preserve">Insurance Pricing</t>
  </si>
  <si>
    <t xml:space="preserve">Akur8</t>
  </si>
  <si>
    <t xml:space="preserve">Paris insurtech applying transparent machine learning to insurance pricing optimisation.</t>
  </si>
  <si>
    <t xml:space="preserve">EUR 166,600,000</t>
  </si>
  <si>
    <t xml:space="preserve">AI Startups directory</t>
  </si>
  <si>
    <t xml:space="preserve">https://www.ai-startups.pro/country/France/</t>
  </si>
  <si>
    <t xml:space="preserve">Merged from the northern-Mediterranean extension. Original taxonomy: sector 'Fintech', application sector 'Finance', entity type 'Startup'. Maturity not recorded in the source.</t>
  </si>
  <si>
    <t xml:space="preserve">AI Drug Design</t>
  </si>
  <si>
    <t xml:space="preserve">Aqemia</t>
  </si>
  <si>
    <t xml:space="preserve">Paris company combining quantum-inspired physics and deep learning to generate drug candidates for pharmaceutical partners.</t>
  </si>
  <si>
    <t xml:space="preserve">AI News Hub</t>
  </si>
  <si>
    <t xml:space="preserve">https://www.ainewshub.org/post/top-8-french-ai-startups-shaping-the-future-of-tech-industries-in-2025</t>
  </si>
  <si>
    <t xml:space="preserve">Merged from the northern-Mediterranean extension. Original taxonomy: sector 'Healthtech', application sector 'Healthcare', entity type 'Startup'. Maturity not recorded in the source.</t>
  </si>
  <si>
    <t xml:space="preserve">Biology Foundation Models</t>
  </si>
  <si>
    <t xml:space="preserve">Bioptimus</t>
  </si>
  <si>
    <t xml:space="preserve">French startup building foundation models for biology, spun out of the Owkin ecosystem.</t>
  </si>
  <si>
    <t xml:space="preserve">Data Science Platform</t>
  </si>
  <si>
    <t xml:space="preserve">Dataiku</t>
  </si>
  <si>
    <t xml:space="preserve">Enterprise data science and machine learning platform founded in Paris, now one of France's largest AI scale-ups serving analytics and MLOps use cases.</t>
  </si>
  <si>
    <t xml:space="preserve">2013</t>
  </si>
  <si>
    <t xml:space="preserve">Merged from the northern-Mediterranean extension. Original taxonomy: sector 'Enterprise AI', application sector 'Industry', entity type 'Startup'. Maturity not recorded in the source.</t>
  </si>
  <si>
    <t xml:space="preserve">Legal AI</t>
  </si>
  <si>
    <t xml:space="preserve">Doctrine</t>
  </si>
  <si>
    <t xml:space="preserve">French legal-tech company applying NLP to case law and legal research, cited among the leading vertical French AI companies.</t>
  </si>
  <si>
    <t xml:space="preserve">Digitiz (ecosystem review)</t>
  </si>
  <si>
    <t xml:space="preserve">https://digitiz.fr/ia-francaises/</t>
  </si>
  <si>
    <t xml:space="preserve">AI Agents</t>
  </si>
  <si>
    <t xml:space="preserve">Dust</t>
  </si>
  <si>
    <t xml:space="preserve">Paris platform for building and deploying enterprise AI agents connected to internal company data; Sequoia-backed.</t>
  </si>
  <si>
    <t xml:space="preserve">Existence and backing confirmed; valuation figures elsewhere are secondary. | Merged from the northern-Mediterranean extension. Original taxonomy: sector 'Enterprise AI', application sector 'Industry', entity type 'Startup'. Maturity not recorded in the source.</t>
  </si>
  <si>
    <t xml:space="preserve">Synthetic Data for Robotics</t>
  </si>
  <si>
    <t xml:space="preserve">Genesis AI</t>
  </si>
  <si>
    <t xml:space="preserve">French startup generating synthetic training data for robotics, cited among the emerging second-wave AI companies.</t>
  </si>
  <si>
    <t xml:space="preserve">Autonomous Agents</t>
  </si>
  <si>
    <t xml:space="preserve">H Company</t>
  </si>
  <si>
    <t xml:space="preserve">Paris company developing agentic AI models to automate knowledge work, cited at around EUR 2bn valuation with $220M raised.</t>
  </si>
  <si>
    <t xml:space="preserve">$220,000,000</t>
  </si>
  <si>
    <t xml:space="preserve">ML Platform / Open Source</t>
  </si>
  <si>
    <t xml:space="preserve">Hugging Face</t>
  </si>
  <si>
    <t xml:space="preserve">Founded in Paris in 2016 by Clement Delangue, Julien Chaumond and Thomas Wolf; the reference open platform for sharing ML models and datasets. Acquired French humanoid robotics startup Pollen Robotics in April 2025.</t>
  </si>
  <si>
    <t xml:space="preserve">$395,200,000</t>
  </si>
  <si>
    <t xml:space="preserve">Funding total from ai-startups.pro; HQ is now New York with strong French roots. | Merged from the northern-Mediterranean extension. Original taxonomy: sector 'Enterprise AI', application sector 'Industry', entity type 'Startup'. Maturity not recorded in the source.</t>
  </si>
  <si>
    <t xml:space="preserve">Sovereign Generative AI</t>
  </si>
  <si>
    <t xml:space="preserve">LightOn</t>
  </si>
  <si>
    <t xml:space="preserve">French generative AI company focused on enterprise deployment and data sovereignty, positioned among European pioneers of responsible enterprise AI.</t>
  </si>
  <si>
    <t xml:space="preserve">Foundation Models</t>
  </si>
  <si>
    <t xml:space="preserve">Mistral AI</t>
  </si>
  <si>
    <t xml:space="preserve">Paris foundation-model company founded 2023 by former Google and Meta researchers, publishing largely open-weight LLMs and operating Le Chat, AI Studio, Mistral Code and Mistral Compute. Raised EUR 1.7bn Series C in September 2025 led by ASML at EUR 11.7bn post-money, Europe's most valuable AI company.</t>
  </si>
  <si>
    <t xml:space="preserve">2025-09-09</t>
  </si>
  <si>
    <t xml:space="preserve">$2,000,000,000</t>
  </si>
  <si>
    <t xml:space="preserve">Round corroborated by CNBC and SiliconANGLE; ASML holds ~11% fully diluted. | Merged from the northern-Mediterranean extension. Original taxonomy: sector 'Enterprise AI', application sector 'Industry', entity type 'Startup'. Maturity not recorded in the source.</t>
  </si>
  <si>
    <t xml:space="preserve">Clinical Documentation</t>
  </si>
  <si>
    <t xml:space="preserve">Nabla</t>
  </si>
  <si>
    <t xml:space="preserve">Paris company behind Nabla Copilot, an ambient AI assistant that drafts clinical notes for physicians during consultations.</t>
  </si>
  <si>
    <t xml:space="preserve">$114,700,000</t>
  </si>
  <si>
    <t xml:space="preserve">Drug Discovery / Federated Learning</t>
  </si>
  <si>
    <t xml:space="preserve">Owkin</t>
  </si>
  <si>
    <t xml:space="preserve">AI biotech using federated learning to train models on distributed, sensitive medical data without centralising it. Products include MOSAIC (multimodal spatial omics) and the open-source Substra framework; partnerships with Sanofi and BMS.</t>
  </si>
  <si>
    <t xml:space="preserve">$304,100,000</t>
  </si>
  <si>
    <t xml:space="preserve">Unicorn status and pharma partnerships reported by secondary sources; confirm via owkin.com. | Merged from the northern-Mediterranean extension. Original taxonomy: sector 'Healthtech', application sector 'Healthcare', entity type 'Startup'. Maturity not recorded in the source.</t>
  </si>
  <si>
    <t xml:space="preserve">Computer Vision / Imaging</t>
  </si>
  <si>
    <t xml:space="preserve">Photoroom</t>
  </si>
  <si>
    <t xml:space="preserve">Paris AI image-editing company for e-commerce and marketing visuals; cited at around EUR 1.2bn valuation.</t>
  </si>
  <si>
    <t xml:space="preserve">Humanoid Robotics</t>
  </si>
  <si>
    <t xml:space="preserve">Pollen Robotics</t>
  </si>
  <si>
    <t xml:space="preserve">Bordeaux humanoid robotics startup founded 2016 by Matthieu Lapeyre and Pierre Rouanet, acquired by Hugging Face in April 2025 as part of its open robotics strategy.</t>
  </si>
  <si>
    <t xml:space="preserve">Acquisition corroborated by Tech Funding News. | Merged from the northern-Mediterranean extension. Original taxonomy: sector 'Enterprise AI', application sector 'Industry', entity type 'Startup'. Maturity not recorded in the source.</t>
  </si>
  <si>
    <t xml:space="preserve">AI for Software Engineering</t>
  </si>
  <si>
    <t xml:space="preserve">Poolside</t>
  </si>
  <si>
    <t xml:space="preserve">AI coding company that raised EUR 126M and relocated its operations to France, contributing to the Paris AI ecosystem's momentum.</t>
  </si>
  <si>
    <t xml:space="preserve">EUR 126,000,000</t>
  </si>
  <si>
    <t xml:space="preserve">US-founded, France-based: flagged for the same scope treatment as diaspora entries. | Merged from the northern-Mediterranean extension. Original taxonomy: sector 'Enterprise AI', application sector 'Industry', entity type 'Startup'. Maturity not recorded in the source.</t>
  </si>
  <si>
    <t xml:space="preserve">Open Source ML Tooling</t>
  </si>
  <si>
    <t xml:space="preserve">Probabl</t>
  </si>
  <si>
    <t xml:space="preserve">French company stewarding scikit-learn and related open-source data science tooling.</t>
  </si>
  <si>
    <t xml:space="preserve">Merged from the northern-Mediterranean extension. Original taxonomy: sector 'Enterprise AI', application sector 'Education', entity type 'Startup'. Maturity not recorded in the source.</t>
  </si>
  <si>
    <t xml:space="preserve">Neuromorphic Vision Sensors</t>
  </si>
  <si>
    <t xml:space="preserve">Prophesee</t>
  </si>
  <si>
    <t xml:space="preserve">Paris company developing event-based computer vision sensors and systems for machine vision applications.</t>
  </si>
  <si>
    <t xml:space="preserve">2014</t>
  </si>
  <si>
    <t xml:space="preserve">$111,400,000</t>
  </si>
  <si>
    <t xml:space="preserve">Cloud Compute</t>
  </si>
  <si>
    <t xml:space="preserve">Scaleway</t>
  </si>
  <si>
    <t xml:space="preserve">French cloud provider supplying GPU compute to the domestic AI ecosystem; compute partner of the STATION F AI Startup Program with Meta and Hugging Face.</t>
  </si>
  <si>
    <t xml:space="preserve">Insurance Fraud Detection</t>
  </si>
  <si>
    <t xml:space="preserve">Shift Technology</t>
  </si>
  <si>
    <t xml:space="preserve">AI platform automating fraud detection and claims processing for insurers, one of France's established AI scale-ups.</t>
  </si>
  <si>
    <t xml:space="preserve">UMA</t>
  </si>
  <si>
    <t xml:space="preserve">Paris humanoid robotics startup founded by former Tesla and Hugging Face engineers, part of the second wave of French AI companies.</t>
  </si>
  <si>
    <t xml:space="preserve">Inference Optimisation</t>
  </si>
  <si>
    <t xml:space="preserve">ZML</t>
  </si>
  <si>
    <t xml:space="preserve">French startup working on cross-platform inference optimisation for AI models.</t>
  </si>
  <si>
    <t xml:space="preserve">Italy</t>
  </si>
  <si>
    <t xml:space="preserve">Professional Association</t>
  </si>
  <si>
    <t xml:space="preserve">AIxIA - Associazione Italiana per l'Intelligenza Artificiale</t>
  </si>
  <si>
    <t xml:space="preserve">Italian AI association; its president Gianluigi Greco coordinated the committee that drafted the national AI strategy.</t>
  </si>
  <si>
    <t xml:space="preserve">AgID (Agenzia per l'Italia Digitale)</t>
  </si>
  <si>
    <t xml:space="preserve">https://www.agid.gov.it/en/agenzia/stampa-e-comunicazione/notizie/2024/07/22/italian-strategy-artificial-intelligence-2024-2026</t>
  </si>
  <si>
    <t xml:space="preserve">CDP Venture Capital</t>
  </si>
  <si>
    <t xml:space="preserve">State-backed investor and the most active venture player in Italy, credited with 91 investments and participation in international rounds such as Nozomi Networks' Series E.</t>
  </si>
  <si>
    <t xml:space="preserve">The Week in Italian Startups</t>
  </si>
  <si>
    <t xml:space="preserve">https://creators.spotify.com/pod/profile/giacomo-mollo/episodes/iGenius--Aidexa--Italian-Founders-Fund---June-18--2024-e2l47nq</t>
  </si>
  <si>
    <t xml:space="preserve">Podcast episode notes; confirm figures against cdpventurecapital.it. | Merged from the northern-Mediterranean extension. Original taxonomy: sector 'General', application sector 'Finance', entity type 'Investor'. Maturity not recorded in the source.</t>
  </si>
  <si>
    <t xml:space="preserve">Italian Founders Fund</t>
  </si>
  <si>
    <t xml:space="preserve">Founder-led venture fund investing in early-stage Italian technology companies.</t>
  </si>
  <si>
    <t xml:space="preserve">P101</t>
  </si>
  <si>
    <t xml:space="preserve">Milan venture capital firm active in the Italian AI and digital startup ecosystem.</t>
  </si>
  <si>
    <t xml:space="preserve">Nucamp (ecosystem guide)</t>
  </si>
  <si>
    <t xml:space="preserve">https://www.nucamp.co/blog/coding-bootcamp-italy-ita-italys-top-10-startups-that-tech-professionals-should-watch-out-for-in-2025</t>
  </si>
  <si>
    <t xml:space="preserve">AI Factory</t>
  </si>
  <si>
    <t xml:space="preserve">IT4LIA AI Factory</t>
  </si>
  <si>
    <t xml:space="preserve">One of the first European AI Factories, coordinated by CINECA with Austria and Slovenia at the Bologna Tecnopolo. Combines Leonardo, the LISA system and GAIA cloud with a new AI-optimised supercomputer, targeting over 20,000 GPUs. Co-funded by MUR, ACN, Emilia-Romagna, INFN, AI4I and FBK.</t>
  </si>
  <si>
    <t xml:space="preserve">2025-04</t>
  </si>
  <si>
    <t xml:space="preserve">EuroHPC Joint Undertaking</t>
  </si>
  <si>
    <t xml:space="preserve">https://www.eurohpc-ju.europa.eu/ai-factories/italy_en</t>
  </si>
  <si>
    <t xml:space="preserve">Leonardo supercomputer</t>
  </si>
  <si>
    <t xml:space="preserve">EuroHPC pre-exascale system hosted and operated by CINECA, jointly funded by the Italian Ministry of University and Research and the EuroHPC JU; access allocated via EuroHPC and CINECA ISCRA calls.</t>
  </si>
  <si>
    <t xml:space="preserve">Infrastructure profile</t>
  </si>
  <si>
    <t xml:space="preserve">arXiv (Leonardo system paper)</t>
  </si>
  <si>
    <t xml:space="preserve">Primary (Academic)</t>
  </si>
  <si>
    <t xml:space="preserve">https://arxiv.org/pdf/2307.16885</t>
  </si>
  <si>
    <t xml:space="preserve">Cybersecurity &amp; AI</t>
  </si>
  <si>
    <t xml:space="preserve">ACN - Agenzia per la Cybersicurezza Nazionale (AI mandate)</t>
  </si>
  <si>
    <t xml:space="preserve">National Cybersecurity Agency designated alongside AgID as a national AI authority under Law 132/2025, covering market surveillance and security aspects of AI deployment.</t>
  </si>
  <si>
    <t xml:space="preserve">Regulations.ai</t>
  </si>
  <si>
    <t xml:space="preserve">https://regulations.ai/regulations/italy-2025-09-legge-132-2025</t>
  </si>
  <si>
    <t xml:space="preserve">AI Governance Authority</t>
  </si>
  <si>
    <t xml:space="preserve">AgID as national AI authority</t>
  </si>
  <si>
    <t xml:space="preserve">Agency for Digital Italy designated under Law 132/2025 as a national AI authority, responsible for AI adoption guidelines in public administration and conformity oversight alongside ACN.</t>
  </si>
  <si>
    <t xml:space="preserve">https://www.agid.gov.it/en/intervention-areas/artificial-intelligence</t>
  </si>
  <si>
    <t xml:space="preserve">Public Administration AI</t>
  </si>
  <si>
    <t xml:space="preserve">AgID guidelines on AI adoption in public administration</t>
  </si>
  <si>
    <t xml:space="preserve">Draft guidelines issued by AgID setting out how Italian public bodies should procure and deploy AI systems consistently with Law 132/2025 and the EU AI Act.</t>
  </si>
  <si>
    <t xml:space="preserve">Draft status at time of capture; check for a final version. | Merged from the northern-Mediterranean extension. Original taxonomy: sector 'Policy', application sector 'Government', entity type 'Policy'. Maturity not recorded in the source.</t>
  </si>
  <si>
    <t xml:space="preserve">National Research Programme</t>
  </si>
  <si>
    <t xml:space="preserve">FAIR - Future Artificial Intelligence Research (PNRR)</t>
  </si>
  <si>
    <t xml:space="preserve">National extended partnership on AI funded under PNRR Mission 4 (project PE00000013), organised into thematic spokes including Integrative AI, Symbiotic AI and Pervasive AI, with cascade calls funding university and industry research.</t>
  </si>
  <si>
    <t xml:space="preserve">AgID / academic acknowledgements (arXiv)</t>
  </si>
  <si>
    <t xml:space="preserve">https://arxiv.org/pdf/2512.04759</t>
  </si>
  <si>
    <t xml:space="preserve">Project ID and spoke structure consistently cited across multiple peer-reviewed acknowledgements. | Merged from the northern-Mediterranean extension. Original taxonomy: sector 'Policy', application sector 'Education', entity type 'Policy'. Maturity not recorded in the source.</t>
  </si>
  <si>
    <t xml:space="preserve">National Research Centre</t>
  </si>
  <si>
    <t xml:space="preserve">ICSC - Centro Nazionale di Ricerca in HPC, Big Data e Quantum Computing</t>
  </si>
  <si>
    <t xml:space="preserve">PNRR-funded national research centre (project CN_00000013) coordinating Italian high-performance computing, big data and quantum research, chaired alongside INFN.</t>
  </si>
  <si>
    <t xml:space="preserve">Academic acknowledgements (arXiv)</t>
  </si>
  <si>
    <t xml:space="preserve">https://arxiv.org/pdf/2411.07321</t>
  </si>
  <si>
    <t xml:space="preserve">National Legislation</t>
  </si>
  <si>
    <t xml:space="preserve">Legge 132/2025 - Disposizioni e deleghe in materia di intelligenza artificiale</t>
  </si>
  <si>
    <t xml:space="preserve">National AI statute in force from 10 October 2025, the first such law in an EU member state. Codifies anthropocentric, transparent and secure AI principles, designates AgID and ACN as national authorities, sets sectoral rules for health, labour and finance, and creates a criminal offence for illicit dissemination of AI-generated content.</t>
  </si>
  <si>
    <t xml:space="preserve">National law</t>
  </si>
  <si>
    <t xml:space="preserve">2025-09-23</t>
  </si>
  <si>
    <t xml:space="preserve">Detail corroborated by Regulations.ai analysis of the Gazzetta Ufficiale text. | Merged from the northern-Mediterranean extension. Original taxonomy: sector 'Policy', application sector 'Government', entity type 'Policy'. Maturity not recorded in the source.</t>
  </si>
  <si>
    <t xml:space="preserve">Strategia Italiana per l'Intelligenza Artificiale 2024-2026</t>
  </si>
  <si>
    <t xml:space="preserve">National AI strategy published July 2024, drafted by a fourteen-member expert committee coordinated by Prof. Gianluigi Greco. Structured around four macro areas: research, public administration, enterprise and training, with a monitoring system and regulatory analysis.</t>
  </si>
  <si>
    <t xml:space="preserve">2024-07-22</t>
  </si>
  <si>
    <t xml:space="preserve">Industrial AI Institute</t>
  </si>
  <si>
    <t xml:space="preserve">AI4I - Istituto Italiano per l'Intelligenza Artificiale per l'Industria</t>
  </si>
  <si>
    <t xml:space="preserve">Turin-based institute created to strengthen Italy's industrial competitiveness in AI; co-funder of the IT4LIA AI Factory.</t>
  </si>
  <si>
    <t xml:space="preserve">Merged from the northern-Mediterranean extension. Original taxonomy: sector 'General', application sector 'Industry', entity type 'Hub'. Maturity not recorded in the source.</t>
  </si>
  <si>
    <t xml:space="preserve">Supercomputing</t>
  </si>
  <si>
    <t xml:space="preserve">CINECA</t>
  </si>
  <si>
    <t xml:space="preserve">Italy's national supercomputing consortium, host and operator of the Leonardo system and coordinator of the IT4LIA AI Factory; allocates compute through the ISCRA programme.</t>
  </si>
  <si>
    <t xml:space="preserve">CINECA (official)</t>
  </si>
  <si>
    <t xml:space="preserve">https://www.cineca.it/en/press-area/press-releases/it4lia-italy-artificial-intelligence</t>
  </si>
  <si>
    <t xml:space="preserve">Research Foundation</t>
  </si>
  <si>
    <t xml:space="preserve">Fondazione Bruno Kessler (FBK)</t>
  </si>
  <si>
    <t xml:space="preserve">Trento research foundation active in AI and digital technologies, co-funder of the IT4LIA AI Factory.</t>
  </si>
  <si>
    <t xml:space="preserve">Istituto Italiano di Tecnologia (IIT)</t>
  </si>
  <si>
    <t xml:space="preserve">Genoa research institute with a major robotics programme; more than two decades of physical-AI research there underpins Italian humanoid robotics ventures.</t>
  </si>
  <si>
    <t xml:space="preserve">2003</t>
  </si>
  <si>
    <t xml:space="preserve">EU-Startups</t>
  </si>
  <si>
    <t xml:space="preserve">https://www.eu-startups.com/2026/02/from-milan-to-liguria-10-of-the-most-promising-italian-startups-shaping-the-next-tech-cycle/</t>
  </si>
  <si>
    <t xml:space="preserve">Open Language Models</t>
  </si>
  <si>
    <t xml:space="preserve">Minerva LLM</t>
  </si>
  <si>
    <t xml:space="preserve">Family of Italian-language LLMs developed within the FAIR project with CINECA, trained on Leonardo, using instruction tuning to reduce hallucination and inappropriate output.</t>
  </si>
  <si>
    <t xml:space="preserve">Research output</t>
  </si>
  <si>
    <t xml:space="preserve">HandWiki (AI industry in Italy)</t>
  </si>
  <si>
    <t xml:space="preserve">https://handwiki.org/wiki/Artificial_intelligence_industry_in_Italy</t>
  </si>
  <si>
    <t xml:space="preserve">Wiki-grade source; confirm against the FAIR project's own releases. | Merged from the northern-Mediterranean extension. Original taxonomy: sector 'General', application sector 'Education', entity type 'Hub'. Maturity not recorded in the source.</t>
  </si>
  <si>
    <t xml:space="preserve">Space Autonomy</t>
  </si>
  <si>
    <t xml:space="preserve">AIKO</t>
  </si>
  <si>
    <t xml:space="preserve">Turin startup building autonomy software for satellites and space missions, hiring from the local aerospace cluster; among Italy's top-funded AI companies.</t>
  </si>
  <si>
    <t xml:space="preserve">Tracxn</t>
  </si>
  <si>
    <t xml:space="preserve">https://tracxn.com/d/artificial-intelligence/ai-startups-in-italy/__NlabXMj6gOS3IVp7U1OIHdEidt4KvFAKGARIcMbv8mU</t>
  </si>
  <si>
    <t xml:space="preserve">Synthetic Data</t>
  </si>
  <si>
    <t xml:space="preserve">Aindo</t>
  </si>
  <si>
    <t xml:space="preserve">Trieste company generating privacy-preserving synthetic data for healthcare and regulated industries; around EUR 9.5M raised.</t>
  </si>
  <si>
    <t xml:space="preserve">EUR 9,500,000</t>
  </si>
  <si>
    <t xml:space="preserve">RegTech</t>
  </si>
  <si>
    <t xml:space="preserve">Aptus.AI</t>
  </si>
  <si>
    <t xml:space="preserve">Pisa company automating regulatory compliance for Italian banks by machine-reading financial regulation.</t>
  </si>
  <si>
    <t xml:space="preserve">AI Asset Management</t>
  </si>
  <si>
    <t xml:space="preserve">Axyon AI</t>
  </si>
  <si>
    <t xml:space="preserve">Modena fintech combining deep learning with high-performance computing for investment management and trading strategies; integrated into SimCorp One in 2025.</t>
  </si>
  <si>
    <t xml:space="preserve">Content Generation</t>
  </si>
  <si>
    <t xml:space="preserve">Contents.com</t>
  </si>
  <si>
    <t xml:space="preserve">Milan company founded 2017 offering AI-powered multilingual content generation for agencies, publishers and e-commerce; subsequently acquired.</t>
  </si>
  <si>
    <t xml:space="preserve">IBTimes</t>
  </si>
  <si>
    <t xml:space="preserve">https://www.ibtimes.com.au/italys-10-best-ai-companies-leading-innovation-2026-enterprise-platforms-physical-ai-1865880</t>
  </si>
  <si>
    <t xml:space="preserve">Natural Language Processing</t>
  </si>
  <si>
    <t xml:space="preserve">Expert.ai</t>
  </si>
  <si>
    <t xml:space="preserve">Modena-founded company providing natural language understanding software for enterprises, one of Italy's longest-established AI firms.</t>
  </si>
  <si>
    <t xml:space="preserve">1989</t>
  </si>
  <si>
    <t xml:space="preserve">https://tracxn.com/d/explore/generative-ai-startups-in-italy/__JYvohyOZikljlt5x5bz6FIM53jkWdnZs_5-uoW1WjSM/companies</t>
  </si>
  <si>
    <t xml:space="preserve">Generative Bionics</t>
  </si>
  <si>
    <t xml:space="preserve">Physical-AI company founded 2025 building on two decades of IIT research, with ~80 staff and 60+ humanoid prototypes developed; EUR 70M secured to move humanoid platforms from lab to production.</t>
  </si>
  <si>
    <t xml:space="preserve">EUR 70,000,000</t>
  </si>
  <si>
    <t xml:space="preserve">Deepfake Detection</t>
  </si>
  <si>
    <t xml:space="preserve">IdentifAI</t>
  </si>
  <si>
    <t xml:space="preserve">Milan company building technology to determine whether digital content was created by humans or generated by AI.</t>
  </si>
  <si>
    <t xml:space="preserve">Lexroom</t>
  </si>
  <si>
    <t xml:space="preserve">Italian legal-AI startup, cited as the only AI-native company among the country's top funded names in the period reviewed.</t>
  </si>
  <si>
    <t xml:space="preserve">AI Investment Platform</t>
  </si>
  <si>
    <t xml:space="preserve">MDOTM</t>
  </si>
  <si>
    <t xml:space="preserve">Milan company whose Sphere platform applies AI to portfolio construction, touching $100bn+ in assets across 60+ institutions including Morgan Stanley, Amundi and Zurich Bank; raised a $27M growth round from Expedition Growth Capital.</t>
  </si>
  <si>
    <t xml:space="preserve">2015</t>
  </si>
  <si>
    <t xml:space="preserve">$27,000,000</t>
  </si>
  <si>
    <t xml:space="preserve">Synthetic Voice</t>
  </si>
  <si>
    <t xml:space="preserve">Voiseed</t>
  </si>
  <si>
    <t xml:space="preserve">Italian startup generating expressive synthetic voice and emotional speech for media localisation.</t>
  </si>
  <si>
    <t xml:space="preserve">Enterprise Generative AI</t>
  </si>
  <si>
    <t xml:space="preserve">iGenius</t>
  </si>
  <si>
    <t xml:space="preserve">Milan company building AI platforms for speech analytics, data intelligence and automation in regulated sectors such as banking and manufacturing. Sought EUR 650M at a ~EUR 1.7bn post-money valuation in 2024 and partnered with G42 to deploy a large European AI compute cluster.</t>
  </si>
  <si>
    <t xml:space="preserve">2024-06-10</t>
  </si>
  <si>
    <t xml:space="preserve">EUR 650,000,000</t>
  </si>
  <si>
    <t xml:space="preserve">Bloomberg</t>
  </si>
  <si>
    <t xml:space="preserve">https://www.bloomberg.com/news/articles/2024-06-10/ai-startup-igenius-seeks-funding-at-1-7-billion-valuation</t>
  </si>
  <si>
    <t xml:space="preserve">Funding figure is a target for an open round, not a closed raise - treat with care. | Merged from the northern-Mediterranean extension. Original taxonomy: sector 'Enterprise AI', application sector 'Industry', entity type 'Startup'. Maturity not recorded in the source.</t>
  </si>
  <si>
    <t xml:space="preserve">Lebanon</t>
  </si>
  <si>
    <t xml:space="preserve">AI Community / Ecosystem</t>
  </si>
  <si>
    <t xml:space="preserve">Beirut AI</t>
  </si>
  <si>
    <t xml:space="preserve">Lebanese non-profit (since 2017) and the country's largest applied-AI community: bootcamps, AI Weekend, hackathons and university workshops to make AI tools and knowledge accessible in Lebanon.</t>
  </si>
  <si>
    <t xml:space="preserve">2026-08-09</t>
  </si>
  <si>
    <t xml:space="preserve">Beirut AI (official site)</t>
  </si>
  <si>
    <t xml:space="preserve">https://beirutai.org/</t>
  </si>
  <si>
    <t xml:space="preserve">Community</t>
  </si>
  <si>
    <t xml:space="preserve">BeirutAI</t>
  </si>
  <si>
    <t xml:space="preserve">Local applied-AI community (part of the global City AI network); runs workshops and data science hackathons.</t>
  </si>
  <si>
    <t xml:space="preserve">Event listing</t>
  </si>
  <si>
    <t xml:space="preserve">2026-07-29</t>
  </si>
  <si>
    <t xml:space="preserve">Ihjoz (event listing)</t>
  </si>
  <si>
    <t xml:space="preserve">https://ihjoz.com/events/4372-data-science-hackathon</t>
  </si>
  <si>
    <t xml:space="preserve">[Reclassified 2026-08-01] Old Sector: 'General' -&gt; New: 'Energy, Agriculture, Maritime, Health, Industry, Education'. Old Entity Type: 'Hub' -&gt; New Ecosystem Type: 'Hackathons'. [Refined 2026-08-02] Sector forced to single label 'Industry' (was multi-sector: Energy, Agriculture, Maritime, Health, Industry, Education). Maturity inferred as 'Idea-stage' (hackathon-type). [Manual fix 2026-08-03] Entity Type corrected from 'Hackathons' to 'Community/Association'. Was Hackathons - the classifier matched 'hackathons' from a secondary activity description before recognizing the entity's own Sub-Sector ('Community') and its description's primary framing ('Local applied-AI community... part of the global City AI network'). [Audit 2026-08-05] Maturity corrected: 'Idea-stage' -&gt; 'Established'. [Audit 2026-08-05] Reason: structural type per maturity rule (was left unadjusted after manual entity-type fix)</t>
  </si>
  <si>
    <t xml:space="preserve">Diaspora tech network</t>
  </si>
  <si>
    <t xml:space="preserve">LebNet</t>
  </si>
  <si>
    <t xml:space="preserve">Non-profit network of Lebanese tech professionals and entrepreneurs in North America (merged with LCTechHub) that mentors Lebanese startups, runs chapters across the US and Canada, and hosts AI-focused programming such as the 'AI and the Future of Innovation' Bay Area panel and Women in Tech tracks.</t>
  </si>
  <si>
    <t xml:space="preserve">LebNet (official site)</t>
  </si>
  <si>
    <t xml:space="preserve">https://lebnet.us/mission-and-vision</t>
  </si>
  <si>
    <t xml:space="preserve">Mission, merger with LCTechHub and AI events verified on lebnet.us official pages. [Added 2026-08-05 expansion pass]</t>
  </si>
  <si>
    <t xml:space="preserve">Agrifood innovation cluster</t>
  </si>
  <si>
    <t xml:space="preserve">QOOT Agri-Food Innovation Cluster</t>
  </si>
  <si>
    <t xml:space="preserve">Lebanon's first agrifood innovation cluster, initiated by Berytech with support from the Embassy of the Netherlands, grouping dozens of agrifood companies and startups to drive innovation, technology adoption and exports in the sector; held its Annual General Assembly in 2026.</t>
  </si>
  <si>
    <t xml:space="preserve">Cluster/association profile</t>
  </si>
  <si>
    <t xml:space="preserve">QOOT Cluster (official site)</t>
  </si>
  <si>
    <t xml:space="preserve">https://qoot.org/about/</t>
  </si>
  <si>
    <t xml:space="preserve">Verified via official qoot.org site and Sawt Beirut International coverage of the cluster. [Added 2026-08-05 expansion pass]</t>
  </si>
  <si>
    <t xml:space="preserve">AI in Lebanon Conference 2025</t>
  </si>
  <si>
    <t xml:space="preserve">AI-focused conference held July 21-26, 2025 across five Lebanese cities (Beirut, Tripoli, Sidon, Zahle, Aley), organized by Future 10X under the patronage of Minister Kamal Shehadi.</t>
  </si>
  <si>
    <t xml:space="preserve">Event website</t>
  </si>
  <si>
    <t xml:space="preserve">2025-07-21</t>
  </si>
  <si>
    <t xml:space="preserve">AI in Lebanon Conference (official)</t>
  </si>
  <si>
    <t xml:space="preserve">https://ailebanonconference.com/</t>
  </si>
  <si>
    <t xml:space="preserve">Event history cross-checked.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</si>
  <si>
    <t xml:space="preserve">Innovation &amp; AI expo</t>
  </si>
  <si>
    <t xml:space="preserve">Experia - Lebanon's Interactive Innovation Expo 2026</t>
  </si>
  <si>
    <t xml:space="preserve">Billed as Lebanon's first interactive innovation expo, Experia runs October 8-10, 2026 at Forum de Beyrouth, organized by Promofair with support from the Ministry of Technology &amp; AI, featuring AI demos, an education hackathon, startup exhibits and a pitch competition with up to $100K in funding.</t>
  </si>
  <si>
    <t xml:space="preserve">2026-10-08</t>
  </si>
  <si>
    <t xml:space="preserve">Experia Expo (official site)</t>
  </si>
  <si>
    <t xml:space="preserve">https://experiaexpo.com/</t>
  </si>
  <si>
    <t xml:space="preserve">Dates, venue, organizer and MITAI ministry support verified on the official expo website. [Added 2026-08-05 expansion pass]</t>
  </si>
  <si>
    <t xml:space="preserve">Lebanon Tech, AI &amp; Innovation Summit 2025 (LTAI)</t>
  </si>
  <si>
    <t xml:space="preserve">Government (MITAI) flagship AI/tech summit held November 7, 2025 - the launch venue for Lebanon's National Digital Transformation and AI Strategy. Speakers included MEVP, Berytech, Google Saudi Arabia, and aiXplain.</t>
  </si>
  <si>
    <t xml:space="preserve">2025-11-07</t>
  </si>
  <si>
    <t xml:space="preserve">Lebanon Tech AI Summit (official)</t>
  </si>
  <si>
    <t xml:space="preserve">https://aitechsummit.gov.lb/</t>
  </si>
  <si>
    <t xml:space="preserve">Official event site verified; scale corroborated by VC4A.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</si>
  <si>
    <t xml:space="preserve">B&amp;Y Venture Partners</t>
  </si>
  <si>
    <t xml:space="preserve">Beirut-based, MENA-focused seed/growth VC with tickets of approximately $50,000-$300,000. Explicitly lists an AI and Machine Learning investment focus. Managing GP Ghaith Yafi.</t>
  </si>
  <si>
    <t xml:space="preserve">B&amp;Y Venture Partners (official)</t>
  </si>
  <si>
    <t xml:space="preserve">https://www.yventurepartners.com/</t>
  </si>
  <si>
    <t xml:space="preserve">Berytech Fund II</t>
  </si>
  <si>
    <t xml:space="preserve">$51M Beirut-based VC fund financed by Lebanese banks under BDL Circular 331, focused on software and digital startups.</t>
  </si>
  <si>
    <t xml:space="preserve">Ecosystem directory</t>
  </si>
  <si>
    <t xml:space="preserve">$51,500,000</t>
  </si>
  <si>
    <t xml:space="preserve">DEEL (ecosystem directory)</t>
  </si>
  <si>
    <t xml:space="preserve">https://deelproject.org/en/ecosysteme/venture-capitalists/</t>
  </si>
  <si>
    <t xml:space="preserve">Fund size sourced to a single ecosystem directory - confirm against Berytech's own site before treating as fully verified.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 [Web re-verification 2026-08-05] Status 'Not yet verified' -&gt; 'Verified'. Berytech's official announcement confirms the launch of Berytech Fund II, a Circular 331-backed fund financed by Lebanese banks investing in Lebanese knowledge-economy/tech startups; the fund is widely reported at ~$51.5M. Confirming source: https://berytech.org/berytech-launches-berytech-fund-ii-to-support-the-lebanese-knowledge-economy/ Correction noted: Commonly reported as $51.5M rather than $51M.</t>
  </si>
  <si>
    <t xml:space="preserve">Cedar Mundi Ventures</t>
  </si>
  <si>
    <t xml:space="preserve">Lebanese VC investing in international tech startups with Lebanese economic presence, linked to BDL Circular 331.</t>
  </si>
  <si>
    <t xml:space="preserve">[Reclassified 2026-08-01] Old Sector: 'Policy' -&gt; New: 'Energy, Agriculture, Maritime, Health, Industry, Education'. Old Entity Type: 'Policy' -&gt; New Ecosystem Type: 'Funding'. [Refined 2026-08-02] Sector forced to single label 'Industry' (was multi-sector: Energy, Agriculture, Maritime, Health, Industry, Education). Maturity inferred as 'Established' (structural-type). [Web re-verification 2026-08-05] Status 'Not yet verified' -&gt; 'Verified'. Official site cedarmundi.com, VC4A and Tracxn profiles confirm the Beirut-based VC; Circular 331 linkage is documented in Lebanese financial press (Le Commerce du Levant, BlomInvest analyses of 331-backed funds). Confirming source: https://www.cedarmundi.com/</t>
  </si>
  <si>
    <t xml:space="preserve">Early-stage matching capital</t>
  </si>
  <si>
    <t xml:space="preserve">IM Capital (Insure &amp; Match Capital)</t>
  </si>
  <si>
    <t xml:space="preserve">USAID-supported Lebanese investment vehicle providing matching capital, equity guarantees and capacity building to early-stage Lebanese startups, angel groups and accelerators, and a recurring backer of the tech pipeline that includes Lebanon's AI ventures.</t>
  </si>
  <si>
    <t xml:space="preserve">Berytech</t>
  </si>
  <si>
    <t xml:space="preserve">https://berytech.org/profiles/im-capital/</t>
  </si>
  <si>
    <t xml:space="preserve">Profile verified via Berytech ecosystem directory, Gust accreditation page and successor platform im-fndng.com. [Added 2026-08-05 expansion pass]</t>
  </si>
  <si>
    <t xml:space="preserve">Public Startup Financing</t>
  </si>
  <si>
    <t xml:space="preserve">Kafalat iSME</t>
  </si>
  <si>
    <t xml:space="preserve">State-backed equity co-investment and grant program for innovative Lebanese SMEs and startups; among the most active early-stage funders in the country (58 rounds per Tracxn).</t>
  </si>
  <si>
    <t xml:space="preserve">https://tracxn.com/d/geographies/lebanon/__y_ABi6FaHH7l8ygqHM_jTAMLnK5mXJQ7pl-DyBmVN4M</t>
  </si>
  <si>
    <t xml:space="preserve">Confirm program status post-crisis via kafalat.com.lb. | Merged from the northern-Mediterranean extension. Original taxonomy: sector 'General', application sector 'Finance', entity type 'Investor'. Maturity not recorded in the source.</t>
  </si>
  <si>
    <t xml:space="preserve">Middle East Venture Partners (MEVP)</t>
  </si>
  <si>
    <t xml:space="preserve">Largest Lebanon-rooted VC firm, operating from Dubai and Beirut. Launched the IMPACT Fund under BDL Circular 331 (investor commitments over $70M). Backed Klangoo and many other regional startups.</t>
  </si>
  <si>
    <t xml:space="preserve">MEVP (official)</t>
  </si>
  <si>
    <t xml:space="preserve">https://www.mevp.com/</t>
  </si>
  <si>
    <t xml:space="preserve">Phoenician Funds</t>
  </si>
  <si>
    <t xml:space="preserve">Beirut-based VC (part of More Capital Group); Phoenician Fund I (2018 vintage) focused on fintech and tech across MENA, with approximately 25 investments.</t>
  </si>
  <si>
    <t xml:space="preserve">Phoenician Funds (official)</t>
  </si>
  <si>
    <t xml:space="preserve">https://phoenician.vc/</t>
  </si>
  <si>
    <t xml:space="preserve">One aggregator lists an Abu Dhabi HQ - Beirut recorded here as primary base with a UAE presence, per the fund's own site.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</si>
  <si>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Build with AI Hackathon</t>
  </si>
  <si>
    <t xml:space="preserve">AI hackathon held May 31, 2025 at the Lebanese University-Hadath campus, organized by GDG Coast Lebanon and GDG On Campus, sponsored by Blackbox AI.</t>
  </si>
  <si>
    <t xml:space="preserve">2025-05-31</t>
  </si>
  <si>
    <t xml:space="preserve">GDG Community (official)</t>
  </si>
  <si>
    <t xml:space="preserve">https://gdg.community.dev/</t>
  </si>
  <si>
    <t xml:space="preserve">[Reclassified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'Idea-stage' (description mentions prototype/concept/pilot). [Manual fix 2026-08-03] Entity Type corrected from 'R&amp;D' to 'Hackathons'. Was R&amp;D - the classifier matched 'university' from the venue mention ('held at the Lebanese University-Hadath campus') before reaching the explicit 'hackathon' keyword check. The entity's own name and description clearly identify it as a hackathon; the university is just the venue. [Audit 2026-08-05] Sector corrected: 'Education' -&gt; 'Industry'. [Audit 2026-08-05] Reason: generic ecosystem hackathon -&gt; Industry fallback</t>
  </si>
  <si>
    <t xml:space="preserve">Lebanon's AI Agent Hackathon 2026</t>
  </si>
  <si>
    <t xml:space="preserve">AI agent-building hackathon organized by Supportful and Develeb, sponsored by Google for Developers 'Build with AI', offering a $1,000 prize for the best AI agent.</t>
  </si>
  <si>
    <t xml:space="preserve">$1,000</t>
  </si>
  <si>
    <t xml:space="preserve">Supportful (official)</t>
  </si>
  <si>
    <t xml:space="preserve">https://supportful.world/</t>
  </si>
  <si>
    <t xml:space="preserve">[Reclassified 2026-08-01] Old Sector: 'General' -&gt; New: 'Energy, Agriculture, Maritime, Health, Industry, Education'. Old Entity Type: 'Hub' -&gt; New Ecosystem Type: 'Hackathons'. [Refined 2026-08-02] Sector forced to single label 'Industry' (was multi-sector: Energy, Agriculture, Maritime, Health, Industry, Education). Maturity inferred as 'Idea-stage' (hackathon-type).</t>
  </si>
  <si>
    <t xml:space="preserve">National AI olympiad (pre-university)</t>
  </si>
  <si>
    <t xml:space="preserve">National Olympiad in Artificial Intelligence (NOAI) Lebanon</t>
  </si>
  <si>
    <t xml:space="preserve">Lebanon's national AI olympiad for high-school students, organized with Mind Power STEM and hosted at universities including NDU, which trains and selects talented students in AI and computational thinking as Lebanon's pathway to the International Olympiad in AI (IOAI).</t>
  </si>
  <si>
    <t xml:space="preserve">NDU Lebanon (official Facebook page)</t>
  </si>
  <si>
    <t xml:space="preserve">https://www.facebook.com/NDULebanon/posts/as-part-of-the-national-olympiad-in-artificial-intelligence-noai-lebanon-ndu-wel/1399090165586143/</t>
  </si>
  <si>
    <t xml:space="preserve">Round 2 hosting confirmed on NDU's official Facebook page; Lebanon's IOAI participation pathway cross-checked on ioai-official.org. [Added 2026-08-05 expansion pass]</t>
  </si>
  <si>
    <t xml:space="preserve">Youth robotics &amp; AI competition</t>
  </si>
  <si>
    <t xml:space="preserve">Robotics for Good Youth Challenge - Lebanon</t>
  </si>
  <si>
    <t xml:space="preserve">National Lebanese round of the ITU 'AI for Good' Robotics for Good Youth Challenge, a robotics and AI competition in which student teams build robots addressing disaster response and sustainable development themes, with national winners advancing to the international finals in Geneva.</t>
  </si>
  <si>
    <t xml:space="preserve">Enmaeya (events hub)</t>
  </si>
  <si>
    <t xml:space="preserve">https://enmaeya.com/en/hub/events/68bab2e452d33bafc3d340e9</t>
  </si>
  <si>
    <t xml:space="preserve">Lebanon national round indexed on ITU's aiforgood.itu.int events site and Enmaeya, but the ITU event page did not load at verification time. [Added 2026-08-05 expansion pass]</t>
  </si>
  <si>
    <t xml:space="preserve">Yalla Loubnan 2025</t>
  </si>
  <si>
    <t xml:space="preserve">48-hour online hackathon (December 12-14, 2025) focused on building AI solutions for Lebanese challenges.</t>
  </si>
  <si>
    <t xml:space="preserve">2025-12-12</t>
  </si>
  <si>
    <t xml:space="preserve">Yalla Loubnan (official)</t>
  </si>
  <si>
    <t xml:space="preserve">https://yallaloubnan.com/</t>
  </si>
  <si>
    <t xml:space="preserve">2025 edition cross-checked with Le Courrier d'Algerie. [Reclassified 2026-08-01] Old Sector: 'General' -&gt; New: 'Energy, Agriculture, Maritime, Health, Industry, Education'. Old Entity Type: 'Hub' -&gt; New Ecosystem Type: 'Hackathons'. [Refined 2026-08-02] Sector forced to single label 'Industry' (was multi-sector: Energy, Agriculture, Maritime, Health, Industry, Education). Maturity inferred as 'Idea-stage' (hackathon-type).</t>
  </si>
  <si>
    <t xml:space="preserve">Agri-food tech acceleration</t>
  </si>
  <si>
    <t xml:space="preserve">Agrytech Accelerator (Berytech)</t>
  </si>
  <si>
    <t xml:space="preserve">Lebanon's dedicated agri-food tech accelerator, run by Berytech and funded by the Embassy of the Netherlands since 2017, which disbursed over $724K in equity-free grants to agrifood startups in its first two years. Alumni include AI-driven ventures such as LUXEED Robotics and IOTree.</t>
  </si>
  <si>
    <t xml:space="preserve">Accelerator program profile</t>
  </si>
  <si>
    <t xml:space="preserve">https://berytech.org/724k-in-grants-to-agri-food-innovation-startups-over-two-years-through-the-agrytech-accelerator-program/</t>
  </si>
  <si>
    <t xml:space="preserve">Program launch, Dutch funding and grant figures verified on Berytech's official site (multiple program pages, batches 1-6). [Added 2026-08-05 expansion pass]</t>
  </si>
  <si>
    <t xml:space="preserve">Beirut-founded (out of USJ) entrepreneurship hub running multiple accelerators (Agrytech, Clyntech, IdeaLab, Partner Growth) supporting startups including AI-enabled ones. Also manages Berytech Fund II.</t>
  </si>
  <si>
    <t xml:space="preserve">Institution website</t>
  </si>
  <si>
    <t xml:space="preserve">Berytech (official)</t>
  </si>
  <si>
    <t xml:space="preserve">https://berytech.org/</t>
  </si>
  <si>
    <t xml:space="preserve">Clean energy startup incubation</t>
  </si>
  <si>
    <t xml:space="preserve">Energy Innovation Hub Lebanon (EU-UNDP)</t>
  </si>
  <si>
    <t xml:space="preserve">Incubation and acceleration program for Lebanese clean energy startups, funded by the European Union and implemented by UNDP with NV Innovation Lebanon, offering up to $25,000 in funding plus labs, prototyping and investor readiness; current cycle runs October 2025 to August 2026 and supports tech- and AI-enabled energy ventures.</t>
  </si>
  <si>
    <t xml:space="preserve">Government/donor program</t>
  </si>
  <si>
    <t xml:space="preserve">2025-10</t>
  </si>
  <si>
    <t xml:space="preserve">Energy Innovation Hub (energyinnolab.com)</t>
  </si>
  <si>
    <t xml:space="preserve">https://www.energyinnolab.com/</t>
  </si>
  <si>
    <t xml:space="preserve">Program scope, EU/UNDP backing and 2025-2026 cycle verified on the official program website; also listed by Bloom.pm. [Added 2026-08-05 expansion pass]</t>
  </si>
  <si>
    <t xml:space="preserve">Flat6Labs Beirut</t>
  </si>
  <si>
    <t xml:space="preserve">Seed accelerator program reportedly managing a ~$20M Lebanon Seed Fund with $30,000-$50,000 investment tickets.</t>
  </si>
  <si>
    <t xml:space="preserve">Aggregator profile</t>
  </si>
  <si>
    <t xml:space="preserve">$20,000,000 (UNCONFIRMED - see note)</t>
  </si>
  <si>
    <t xml:space="preserve">Arageek / Failory</t>
  </si>
  <si>
    <t xml:space="preserve">https://www.failory.com/startups/lebanon-accelerators-incubators</t>
  </si>
  <si>
    <t xml:space="preserve">Fund size and ticket amounts sourced only to secondary aggregators - verify against Flat6Labs' own site before treating figures as confirmed.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 [Web re-verification 2026-08-05] Status 'Not yet verified' -&gt; 'Verified'. Entrepreneur ME and ImpactAlpha covered Flat6Labs Beirut's US$20M Lebanon Seed Fund launch, and Flat6Labs' own site maintains a Lebanon Seed Fund page, confirming the previously 'unconfirmed' $20M figure. Confirming source: https://www.entrepreneur.com/en-ae/news-and-trends/flat6labs-beirut-launches-us20-million-early-stage-fund/290121 Correction noted: Investment tickets reported as $30,000 to $500,000 (BusinessNews Lebanon/ImpactAlpha), not $30,000-$50,000.</t>
  </si>
  <si>
    <t xml:space="preserve">Speed@BDD</t>
  </si>
  <si>
    <t xml:space="preserve">Beirut seed accelerator launched after Circular 331; by 2018 it had accelerated 34 startups that created ~500 jobs, with follow-on funding and exits including GITEX Supernova winner Spike.</t>
  </si>
  <si>
    <t xml:space="preserve">Program overview</t>
  </si>
  <si>
    <t xml:space="preserve">Executive Magazine</t>
  </si>
  <si>
    <t xml:space="preserve">https://www.executive-magazine.com/entrepreneurship/lebanese-startups-in-need-of-investments</t>
  </si>
  <si>
    <t xml:space="preserve">Speed@BDD (Speed Accelerator)</t>
  </si>
  <si>
    <t xml:space="preserve">Beirut Digital District accelerator; 3-month program offering $30,000 for approximately 5-10% equity. Backed by Berytech Fund II, IM Capital, MEVP Impact Fund, Bader, and LFE.</t>
  </si>
  <si>
    <t xml:space="preserve">$30,000</t>
  </si>
  <si>
    <t xml:space="preserve">Speed@BDD (official) / Wamda</t>
  </si>
  <si>
    <t xml:space="preserve">https://www.speedlebanon.com/</t>
  </si>
  <si>
    <t xml:space="preserve">[Pending verification] Aggregator source. Confirmed via Egypt/Morocco landscape research pass: real Egyptian accelerator.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</si>
  <si>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UK Lebanon Tech Hub</t>
  </si>
  <si>
    <t xml:space="preserve">Non-profit UK-Lebanon initiative supporting the growth of Lebanon's tech ecosystem by connecting startups with mentors, investors and international resources.</t>
  </si>
  <si>
    <t xml:space="preserve">Startersss (accelerator directory)</t>
  </si>
  <si>
    <t xml:space="preserve">https://www.startersss.com/accelerators-post/accelerator-beirut</t>
  </si>
  <si>
    <t xml:space="preserve">UK Lebanon Tech Hub (UKLTH)</t>
  </si>
  <si>
    <t xml:space="preserve">UK Government and Banque du Liban joint initiative (launched 2015); runs an International Accelerator (delivered with UCL) and 'The Nucleus' venture-building program ($20K cash + $30K services for 5% equity). Jointly funded ~$6.4M by BDL and the UK Embassy.</t>
  </si>
  <si>
    <t xml:space="preserve">$6,400,000</t>
  </si>
  <si>
    <t xml:space="preserve">Wamda / UCL</t>
  </si>
  <si>
    <t xml:space="preserve">https://www.wamda.com/</t>
  </si>
  <si>
    <t xml:space="preserve">Cross-checked with We Are Tech Africa.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</si>
  <si>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Tech &amp; innovation hub (AI cluster)</t>
  </si>
  <si>
    <t xml:space="preserve">Beirut Digital District (BDD)</t>
  </si>
  <si>
    <t xml:space="preserve">Beirut's flagship technology and creative cluster (opened 2012) hosting hundreds of startups and tech firms including AI companies such as ZAKA and eFlow.ai, and running AI-themed talks, meetups and ecosystem programming for the Lebanese tech community.</t>
  </si>
  <si>
    <t xml:space="preserve">Innovation hub profile</t>
  </si>
  <si>
    <t xml:space="preserve">Beirut Digital District</t>
  </si>
  <si>
    <t xml:space="preserve">https://beirutdigitaldistrict.com/blog-article/how-are-you-leveraging-ai-to-grow-and-advance-zakas-ceo-chimes-in/</t>
  </si>
  <si>
    <t xml:space="preserve">Verified via BDD's official site and blog featuring resident AI companies; general history cross-checked on Wikipedia. [Added 2026-08-05 expansion pass]</t>
  </si>
  <si>
    <t xml:space="preserve">Port operations &amp; digital transformation</t>
  </si>
  <si>
    <t xml:space="preserve">CMA CGM Beirut Container Terminal modernization</t>
  </si>
  <si>
    <t xml:space="preserve">Under a 10-year concession that began in March 2022, CMA CGM (the Saade family's Lebanese-rooted shipping group) is investing $33M in the Port of Beirut container terminal, including the 'digital transformation of the terminal', new handling equipment and eco-friendly upgrades to rebuild capacity after the 2020 port explosion.</t>
  </si>
  <si>
    <t xml:space="preserve">Infrastructure/technology investment</t>
  </si>
  <si>
    <t xml:space="preserve">2022-02-17</t>
  </si>
  <si>
    <t xml:space="preserve">FreightWaves</t>
  </si>
  <si>
    <t xml:space="preserve">https://www.freightwaves.com/news/cma-cgm-investing-33m-in-port-of-beirut-container-terminal</t>
  </si>
  <si>
    <t xml:space="preserve">Concession and $33M digital/equipment investment verified via FreightWaves and CMA CGM's official concession announcement. [Added 2026-08-05 expansion pass]</t>
  </si>
  <si>
    <t xml:space="preserve">Graduate AI degree program</t>
  </si>
  <si>
    <t xml:space="preserve">LAU Online MS in Applied Artificial Intelligence</t>
  </si>
  <si>
    <t xml:space="preserve">Fully online Master of Science in Applied Artificial Intelligence offered by the Lebanese American University, training students in machine learning, deep learning and applied AI systems for regional industry needs — one of Lebanon's first online AI graduate degrees.</t>
  </si>
  <si>
    <t xml:space="preserve">Lebanese American University</t>
  </si>
  <si>
    <t xml:space="preserve">https://online.lau.edu.lb/programs/ms-masters-applied-artificial-intelligence/</t>
  </si>
  <si>
    <t xml:space="preserve">Program details taken from LAU's official online-programs site; distinct from LAU's AICS research center already tracked. [Added 2026-08-05 expansion pass]</t>
  </si>
  <si>
    <t xml:space="preserve">University-government AI partnership</t>
  </si>
  <si>
    <t xml:space="preserve">NDU-MITAI Memorandum of Understanding</t>
  </si>
  <si>
    <t xml:space="preserve">Notre Dame University-Louaize (NDU) signed an MoU with the Office of the Minister of State for Information Technology and Artificial Intelligence (MITAI) to cooperate on AI and technology education, research and national capacity building, one of the first university partnerships under Lebanon's new AI ministry (2025).</t>
  </si>
  <si>
    <t xml:space="preserve">Government-academia agreement</t>
  </si>
  <si>
    <t xml:space="preserve">Notre Dame University-Louaize</t>
  </si>
  <si>
    <t xml:space="preserve">https://www.ndu.edu.lb/news-events/news-articles/ndu-signs-mou-with-the-office-of-the-ministry-of-state-for-information-technology-and-artificial-intelligence</t>
  </si>
  <si>
    <t xml:space="preserve">Announced on NDU's official news page; MITAI ministry context cross-checked via LAU News coverage of Minister Kamal Shehadi. [Added 2026-08-05 expansion pass]</t>
  </si>
  <si>
    <t xml:space="preserve">Clinical AI deployment in hospitals</t>
  </si>
  <si>
    <t xml:space="preserve">Rhazes AI pilot at Al Hamshari Hospital</t>
  </si>
  <si>
    <t xml:space="preserve">Pilot deployment (reported August 2025) of Rhazes AI's agentic clinical assistant at Al Hamshari Hospital near Ein el Hilweh, Lebanon's largest Palestinian refugee camp: the AI transcribes consultations in real time, supports diagnostic reasoning and automates admission notes and billing codes for doctors seeing about 60 patients a day across 80 beds.</t>
  </si>
  <si>
    <t xml:space="preserve">AI deployment case / news report</t>
  </si>
  <si>
    <t xml:space="preserve">2025-08-29</t>
  </si>
  <si>
    <t xml:space="preserve">Computer Weekly</t>
  </si>
  <si>
    <t xml:space="preserve">https://www.computerweekly.com/news/366630044/AI-supports-care-of-Palestinian-refugees-in-Lebanon-hospital</t>
  </si>
  <si>
    <t xml:space="preserve">Reported by Computer Weekly (Aug 2025) and independently covered by Arab News; hospital, vendor and AI functions confirmed in article. [Added 2026-08-05 expansion pass]</t>
  </si>
  <si>
    <t xml:space="preserve">Startup Funding Framework</t>
  </si>
  <si>
    <t xml:space="preserve">BDL Circular 331</t>
  </si>
  <si>
    <t xml:space="preserve">2013 Banque du Liban scheme guaranteeing up to 75% of commercial banks' equity investments in knowledge-economy startups (~$400M envelope); the founding instrument of Lebanon's pre-crisis startup ecosystem, funding VCs and accelerators such as Berytech Fund II and Speed@BDD.</t>
  </si>
  <si>
    <t xml:space="preserve">Regulatory framework</t>
  </si>
  <si>
    <t xml:space="preserve">https://www.wamda.com/2017/05/lebanons-bdl-circular-birth-industry</t>
  </si>
  <si>
    <t xml:space="preserve">Largely inactive since the 2019 financial crisis; kept for historical context on ecosystem financing. | Merged from the northern-Mediterranean extension. Original taxonomy: sector 'Policy', application sector 'Government', entity type 'Policy'. Maturity not recorded in the source.</t>
  </si>
  <si>
    <t xml:space="preserve">ESCWA Advisory Report - AI Strategy for Lebanon</t>
  </si>
  <si>
    <t xml:space="preserve">UN ESCWA advisory report, requested by the then Ministry of State for Investment and Technology Affairs, diagnosing Lebanon's AI readiness (SWOT, prerequisites) and proposing vision, strategic goals and phased policy recommendations.</t>
  </si>
  <si>
    <t xml:space="preserve">Advisory report</t>
  </si>
  <si>
    <t xml:space="preserve">UN ESCWA</t>
  </si>
  <si>
    <t xml:space="preserve">https://www.unescwa.org/sites/default/files/event/materials/advisory-report-development-artificial-intelligence-strategy-lebanon-en.pdf</t>
  </si>
  <si>
    <t xml:space="preserve">Digital Infrastructure</t>
  </si>
  <si>
    <t xml:space="preserve">LEAP initiative (Launch-Enact-Advance-Promote)</t>
  </si>
  <si>
    <t xml:space="preserve">Five-year national digital-transformation and AI-readiness framework created by Minister Kamal Shehadi, paired with an initial ~$50M digitization plan covering national digital ID, digital payments, and AI infrastructure.</t>
  </si>
  <si>
    <t xml:space="preserve">$50,000,000</t>
  </si>
  <si>
    <t xml:space="preserve">Wikipedia / The National</t>
  </si>
  <si>
    <t xml:space="preserve">https://en.wikipedia.org/wiki/Kamal_Shehadi</t>
  </si>
  <si>
    <t xml:space="preserve">[Reclassified 2026-08-01] Old Sector: 'Policy' -&gt; New: 'Industry'. Old Entity Type: 'Policy' -&gt; New Ecosystem Type: 'Policy/Strategy'. [Refined 2026-08-02] Sector set to 'Industry'. Maturity inferred as 'Established' (structural-type).</t>
  </si>
  <si>
    <t xml:space="preserve">Ministry of State for Technology and Artificial Intelligence (MITAI / OMSITAI)</t>
  </si>
  <si>
    <t xml:space="preserve">Ministerial office established in 2025 by the Salam government to lead Lebanon's digital transformation and AI agenda: national digital ID, digitised payments, data exchange and AI ecosystem building.</t>
  </si>
  <si>
    <t xml:space="preserve">Consultancy-me</t>
  </si>
  <si>
    <t xml:space="preserve">https://www.consultancy-me.com/news/11533/lebanons-government-taps-roland-berger-to-help-advance-its-ai-ambitions</t>
  </si>
  <si>
    <t xml:space="preserve">Ministry of State for Technology and Artificial Intelligence (MITAI)</t>
  </si>
  <si>
    <t xml:space="preserve">Government ministry overseeing AI/technology policy. Minister Kamal Shehadi appointed February 8, 2025 (dual role with Minister of the Displaced). Cabinet approved a draft law (Sept 2025) to upgrade this into a full ministry, pending parliamentary approval.</t>
  </si>
  <si>
    <t xml:space="preserve">Wikipedia / L'Orient Today</t>
  </si>
  <si>
    <t xml:space="preserve">Currently a State Ministry with a draft law pending parliamentary approval to become a full Ministry - status should be revisited if/when that vote occurs.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</si>
  <si>
    <t xml:space="preserve">Sectoral AI Strategy</t>
  </si>
  <si>
    <t xml:space="preserve">National AI Strategy in Lebanese Industry (2020-2050)</t>
  </si>
  <si>
    <t xml:space="preserve">Ministry of Industry framework for integrating AI into Lebanon's industrial sector (R&amp;D, smart production, competitiveness), building on the 2015 Integrated Vision for the Lebanese Industrial Sector.</t>
  </si>
  <si>
    <t xml:space="preserve">Strategic document</t>
  </si>
  <si>
    <t xml:space="preserve">Digital Watch Observatory</t>
  </si>
  <si>
    <t xml:space="preserve">https://dig.watch/resource/national-artificial-intelligence-strategy-in-lebanese-industry-2020-2050</t>
  </si>
  <si>
    <t xml:space="preserve">National Digital Transformation and AI Strategy 2025-2030</t>
  </si>
  <si>
    <t xml:space="preserve">Lebanon's first national AI strategy, launched November 7, 2025 at the Lebanon Tech, AI &amp; Innovation Summit. Targets: raise AI/digital contribution to ~10% of GDP (~$3.5B) by 2030 (up from $1.3B in 2025), attract $500M+ in AI investment, 80% of government services online, and a National AI Advisory Board.</t>
  </si>
  <si>
    <t xml:space="preserve">The Beiruter</t>
  </si>
  <si>
    <t xml:space="preserve">https://www.thebeiruter.com/article/digital-lebanon-2030-the-roadmap-begins/410</t>
  </si>
  <si>
    <t xml:space="preserve">All quantitative targets are stated 2030 goals, not achieved results - given Lebanon's fiscal and infrastructure constraints (broadband ~9 Mbps, 5G coverage &lt;1% as of the strategy's own baseline), treat as aspirational.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</si>
  <si>
    <t xml:space="preserve">Digital Government</t>
  </si>
  <si>
    <t xml:space="preserve">OMSAR Digital Transformation Strategy (2020-2030)</t>
  </si>
  <si>
    <t xml:space="preserve">National digital transformation strategy approved in 2022 and led by the Office of the Minister of State for Administrative Reform, focused on e-government, digital identity and interoperability.</t>
  </si>
  <si>
    <t xml:space="preserve">Levellers.ai (country review)</t>
  </si>
  <si>
    <t xml:space="preserve">https://www.levellers.ai/what-is/ai-regulation-lebanon</t>
  </si>
  <si>
    <t xml:space="preserve">Single secondary source; recommend confirming against OMSAR's own publication. | Merged from the northern-Mediterranean extension. Original taxonomy: sector 'Policy', application sector 'Government', entity type 'Policy'. Maturity not recorded in the source.</t>
  </si>
  <si>
    <t xml:space="preserve">OMSITAI - Roland Berger AI advisory partnership</t>
  </si>
  <si>
    <t xml:space="preserve">MoU under which Roland Berger (Beirut office) advises the government on AI-driven initiatives; reported alongside a planned $30-50M 2025-2026 investment in generative AI and digital public infrastructure (digital ID, payments, data exchange, 'Super App') with World Bank backing.</t>
  </si>
  <si>
    <t xml:space="preserve">MoU announcement</t>
  </si>
  <si>
    <t xml:space="preserve">2025-08</t>
  </si>
  <si>
    <t xml:space="preserve">National AI strategy advisory</t>
  </si>
  <si>
    <t xml:space="preserve">UN ESCWA Advisory Report on a National AI Strategy for Lebanon</t>
  </si>
  <si>
    <t xml:space="preserve">Advisory report prepared by UN ESCWA with Lebanon's Ministry of State for Investment and Technology Affairs (December 2019 - February 2020) proposing a national AI strategy built on four goals: long-term AI research investment, ethical/legal frameworks, AI workforce development and ICT sector reform — groundwork that preceded the 2025 MITAI strategy.</t>
  </si>
  <si>
    <t xml:space="preserve">Government advisory report</t>
  </si>
  <si>
    <t xml:space="preserve">Full report retrieved from ESCWA's official site; content and ministry counterpart confirmed from the document itself. [Added 2026-08-05 expansion pass]</t>
  </si>
  <si>
    <t xml:space="preserve">Port digitalization policy</t>
  </si>
  <si>
    <t xml:space="preserve">World Bank Port of Beirut digitalization framework</t>
  </si>
  <si>
    <t xml:space="preserve">World Bank report and reform framework (August 2021) proposing digitalization policies and technology solutions — electronic single window, digital customs and data-driven port community systems — to rebuild a transparent, modern and efficient Port of Beirut after the 2020 explosion.</t>
  </si>
  <si>
    <t xml:space="preserve">2021-08-10</t>
  </si>
  <si>
    <t xml:space="preserve">World Bank</t>
  </si>
  <si>
    <t xml:space="preserve">https://www.worldbank.org/en/news/press-release/2021/08/10/digitalization-policies-and-solutions-to-build-back-a-transparent-modern-and-efficient-port-of-beirut</t>
  </si>
  <si>
    <t xml:space="preserve">Official World Bank press release and companion report on the Open Knowledge repository. [Added 2026-08-05 expansion pass]</t>
  </si>
  <si>
    <t xml:space="preserve">AUB - Artificial Intelligence, Data Science, and Computing Hub</t>
  </si>
  <si>
    <t xml:space="preserve">University-level hub at the American University of Beirut for AI, data science, and computing research and education.</t>
  </si>
  <si>
    <t xml:space="preserve">AUB (official)</t>
  </si>
  <si>
    <t xml:space="preserve">https://www.aub.edu.lb/</t>
  </si>
  <si>
    <t xml:space="preserve">[Pending verification] Conference-page source.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AUB hub); the blanket Early default under-stated organizational maturity</t>
  </si>
  <si>
    <t xml:space="preserve">AUB - MIND Lab (Machine INtelligence Development Lab)</t>
  </si>
  <si>
    <t xml:space="preserve">American University of Beirut research lab focused on machine learning theory, context-aware sensing, and Arabic NLP. Team has won Arabic NLP competitions (e.g. KAUST Arabic Sentiment Analysis).</t>
  </si>
  <si>
    <t xml:space="preserve">https://sites.aub.edu.lb/mindlab/</t>
  </si>
  <si>
    <t xml:space="preserve">Official lab site live; AI focus cross-checked via conference programs.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AUB research lab); the blanket Early default under-stated organizational maturity</t>
  </si>
  <si>
    <t xml:space="preserve">LAU - Artificial Intelligence and Cyber Systems (AICS) Research Center</t>
  </si>
  <si>
    <t xml:space="preserve">Lebanese American University cross-disciplinary AI/cybersecurity research center. Founding director Prof. Azzam Mourad. LAU also offers an online MS in Applied AI.</t>
  </si>
  <si>
    <t xml:space="preserve">LAU (official)</t>
  </si>
  <si>
    <t xml:space="preserve">https://www.lau.edu.lb/about/centers-institutes/aics-research-center/</t>
  </si>
  <si>
    <t xml:space="preserve">Official site live with research areas and members.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LAU center); the blanket Early default under-stated organizational maturity</t>
  </si>
  <si>
    <t xml:space="preserve">USJ - Master in Data Science (ESIB)</t>
  </si>
  <si>
    <t xml:space="preserve">Saint Joseph University joint program between the Faculty of Sciences and the ESIB Faculty of Engineering, created in 2017, covering data science and applied AI methods.</t>
  </si>
  <si>
    <t xml:space="preserve">USJ (official)</t>
  </si>
  <si>
    <t xml:space="preserve">https://www.usj.edu.lb/</t>
  </si>
  <si>
    <t xml:space="preserve">[Pending verification] Document dates from 2016-2017; current status unconfirmed.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(program created 2017); the blanket Early default under-stated organizational maturity</t>
  </si>
  <si>
    <t xml:space="preserve">Music / Recommendation AI</t>
  </si>
  <si>
    <t xml:space="preserve">Anghami</t>
  </si>
  <si>
    <t xml:space="preserve">Music-streaming platform founded in Beirut in 2012, using ML-driven recommendation and personalization; first Arab tech company listed on Nasdaq (2021), HQ since relocated to Abu Dhabi.</t>
  </si>
  <si>
    <t xml:space="preserve">Lebanon-founded, HQ relocated to UAE; AI is a feature layer rather than the core product - flagged for a scope decision. | Merged from the northern-Mediterranean extension. Original taxonomy: sector 'Enterprise AI', application sector 'Industry', entity type 'Startup'. Maturity not recorded in the source.</t>
  </si>
  <si>
    <t xml:space="preserve">Digital dentistry / teledentistry</t>
  </si>
  <si>
    <t xml:space="preserve">Basma</t>
  </si>
  <si>
    <t xml:space="preserve">Lebanese direct-to-consumer digital dentistry startup founded by dentist Cherif Massoud selling invisible aligners with remote, data-driven treatment monitoring; raised a $1.2M seed from B&amp;Y Venture Partners and Cedar Mundi in January 2020 and grew the round to $3M to expand across MENA.</t>
  </si>
  <si>
    <t xml:space="preserve">https://thestartupscene.me/INVESTMENTS/Lebanese-Digital-Dentistry-Startup-Basma-Scores-3M-Seed-Funding</t>
  </si>
  <si>
    <t xml:space="preserve">Funding verified across The Startup Scene, Wamda, MENAbytes and PR Newswire ($1.2M seed announcement). [Added 2026-08-05 expansion pass]</t>
  </si>
  <si>
    <t xml:space="preserve">AI in Banking/Lending Software</t>
  </si>
  <si>
    <t xml:space="preserve">Bluering</t>
  </si>
  <si>
    <t xml:space="preserve">Beirut software company providing lending-automation and credit-decisioning platforms for banks, incorporating AI-based credit scoring.</t>
  </si>
  <si>
    <t xml:space="preserve">https://www.nucamp.co/blog/coding-bootcamp-lebanon-lbn-government-the-complete-guide-to-using-ai-in-the-government-industry-in-lebanon-in-2025</t>
  </si>
  <si>
    <t xml:space="preserve">Remote cardiac monitoring</t>
  </si>
  <si>
    <t xml:space="preserve">CardioDiagnostics</t>
  </si>
  <si>
    <t xml:space="preserve">Lebanese medtech founded by Ziad Sankari (Beirut and Miami offices) providing cloud-based, algorithm-driven remote cardiac monitoring (LifeSense) that detects arrhythmias in real time; recognized by President Obama's entrepreneurship summit and reported plans for a $7M fundraise to expand US operations.</t>
  </si>
  <si>
    <t xml:space="preserve">Fierce Biotech</t>
  </si>
  <si>
    <t xml:space="preserve">https://www.fiercebiotech.com/medical-devices/cardiodiagnostics-gets-patient-monitoring-plans-for-7m-fundraise</t>
  </si>
  <si>
    <t xml:space="preserve">Cross-checked via Fierce Biotech, Takreem Foundation profile of founder Ziad Sankari, and company LinkedIn; still hiring in Lebanon per Bayt (2025). [Added 2026-08-05 expansion pass]</t>
  </si>
  <si>
    <t xml:space="preserve">EdTech / Robotics</t>
  </si>
  <si>
    <t xml:space="preserve">Cherpa</t>
  </si>
  <si>
    <t xml:space="preserve">Beirut edtech platform teaching robotics, coding and AI through project-based virtual missions, preparing students for technology careers.</t>
  </si>
  <si>
    <t xml:space="preserve">StartupBlink</t>
  </si>
  <si>
    <t xml:space="preserve">https://www.startupblink.com/top-startups/beirut-lb</t>
  </si>
  <si>
    <t xml:space="preserve">Cloudfish</t>
  </si>
  <si>
    <t xml:space="preserve">Arabic-dialect NLP and sentiment-analysis engine ('Babel').</t>
  </si>
  <si>
    <t xml:space="preserve">Nanalyze (2019 roundup)</t>
  </si>
  <si>
    <t xml:space="preserve">https://www.nanalyze.com/</t>
  </si>
  <si>
    <t xml:space="preserve">Funding undisclosed and sourcing thin (2019 roundup) - confirm current activity before treating as fully verified. [Reclassified 2026-08-01] Old Sector: 'Enterprise AI' -&gt; New: 'Industry'. Old Entity Type: 'Startup' -&gt; New Ecosystem Type: 'Startup'. [Refined 2026-08-02] Sector set to 'Industry'. Maturity inferred as 'Early' (default for Startup/R&amp;D with no funding signal). [Web re-verification 2026-08-05] Status 'Not yet verified' -&gt; 'Verified'. Nanalyze confirms Cloudfish (Beirut, founded 2015) built the 'Babel' Arabic sentiment-analysis algorithm targeting 300M Arabic speakers, funding undisclosed - all matching the row. Confirming source: https://www.nanalyze.com/2019/03/artificial-intelligence-lebanon/</t>
  </si>
  <si>
    <t xml:space="preserve">Risk Intelligence</t>
  </si>
  <si>
    <t xml:space="preserve">Eqlim</t>
  </si>
  <si>
    <t xml:space="preserve">Big-data risk-intelligence platform processing large numbers of web/social sources for real-time supply-chain and geopolitical risk analysis.</t>
  </si>
  <si>
    <t xml:space="preserve">$425,000</t>
  </si>
  <si>
    <t xml:space="preserve">Primary sourcing is a 2019 roundup only - confirm the company is still operating before treating as current. [Reclassified 2026-08-01] Old Sector: 'Enterprise AI' -&gt; New: 'Industry'. Old Entity Type: 'Startup' -&gt; New Ecosystem Type: 'Startup'. [Refined 2026-08-02] Sector set to 'Industry'. Maturity inferred as 'Early' (funding&lt;1M ($425,000)). [Web re-verification 2026-08-05] Status 'Not yet verified' -&gt; 'Verified'. TechCrunch (2014) covered the Beirut geopolitical big-data startup, and Nanalyze confirms it raised $425,000 for its real-time supply-chain risk-intelligence platform processing 100,000+ web/social sources. Confirming source: https://techcrunch.com/2014/09/03/eqlim-startup-aims-to-surface-geopolitical-big-data-in-the-middle-east/</t>
  </si>
  <si>
    <t xml:space="preserve">Legal Tech</t>
  </si>
  <si>
    <t xml:space="preserve">HAQQ Legal AI</t>
  </si>
  <si>
    <t xml:space="preserve">Legal AI operating system with proprietary legal-reasoning engine 'Justinian' that drafts and reviews legal work across jurisdictions. Reportedly serves 7,000+ clients; NVIDIA Inception member.</t>
  </si>
  <si>
    <t xml:space="preserve">2026-02-01</t>
  </si>
  <si>
    <t xml:space="preserve">https://www.wamda.com/2026/02/haqq-legal-ai-raises-3-million-digitise-legal-work-scale</t>
  </si>
  <si>
    <t xml:space="preserve">[Reclassified 2026-08-01] Old Sector: 'Enterprise AI' -&gt; New: 'Industry'. Old Entity Type: 'Startup' -&gt; New Ecosystem Type: 'Startup'. [Refined 2026-08-02] Sector set to 'Industry'. Maturity inferred as 'Growth' (funding 1-5M ($3,000,000)).</t>
  </si>
  <si>
    <t xml:space="preserve">Smart farming / pest monitoring (AIoT)</t>
  </si>
  <si>
    <t xml:space="preserve">IOTree (Internet of Trees)</t>
  </si>
  <si>
    <t xml:space="preserve">Lebanese agritech startup founded by Nisrine El Turky that deploys wireless smart-sensor networks and AI-driven analytics to detect and predict pest infestations (e.g. Mediterranean fruit fly) in orchards, alerting farmers via a mobile app. Partnered with telecom operator touch for Lebanon's first NB-IoT application and was incubated by Berytech's Agrytech program and Flat6Labs.</t>
  </si>
  <si>
    <t xml:space="preserve">https://berytech.org/profiles/io-tree/</t>
  </si>
  <si>
    <t xml:space="preserve">Cross-checked with IEEE Spectrum and Arab News coverage of the startup and the touch NB-IoT partnership announcement. [Added 2026-08-05 expansion pass]</t>
  </si>
  <si>
    <t xml:space="preserve">Arabic e-learning / AI writing assessment</t>
  </si>
  <si>
    <t xml:space="preserve">Kamkalima</t>
  </si>
  <si>
    <t xml:space="preserve">Beirut-based Arabic edtech platform for schools that uses technology-enhanced and AI-assisted tools to teach and assess Arabic language skills (reading, writing, listening); raised a $1.5M Series A in 2019 to expand across the region.</t>
  </si>
  <si>
    <t xml:space="preserve">$1,500,000</t>
  </si>
  <si>
    <t xml:space="preserve">https://www.menabytes.com/kamkalima-series-a/</t>
  </si>
  <si>
    <t xml:space="preserve">Series A verified via MENAbytes; company active per official site kamkalima.com and CB Insights profile. [Added 2026-08-05 expansion pass]</t>
  </si>
  <si>
    <t xml:space="preserve">Klangoo</t>
  </si>
  <si>
    <t xml:space="preserve">NLP/AI company; flagship 'Magnet' audience-engagement solution for publishers plus a multilingual NLP API operating across 100+ languages.</t>
  </si>
  <si>
    <t xml:space="preserve">Klangoo (official) / Crunchbase</t>
  </si>
  <si>
    <t xml:space="preserve">https://klangoo.com/</t>
  </si>
  <si>
    <t xml:space="preserve">Received $1.5M from MEVP's IMPACT Fund (2014). Deep Lebanese roots/R&amp;D; now also lists a US base. [Reclassified 2026-08-01] Old Sector: 'Enterprise AI' -&gt; New: 'Industry'. Old Entity Type: 'Startup' -&gt; New Ecosystem Type: 'Startup'. [Refined 2026-08-02] Sector set to 'Industry'. Maturity inferred as 'Growth' (funding 1-5M ($1,500,000)).</t>
  </si>
  <si>
    <t xml:space="preserve">Agri-robotics / laser weeding</t>
  </si>
  <si>
    <t xml:space="preserve">LUXEED Robotics</t>
  </si>
  <si>
    <t xml:space="preserve">Lebanese-founded agritech startup (founders Guadaluna Chaer, Fabio Bou Habib and Georgy Kassab) building an AI computer-vision robot that kills weeds with a precision laser instead of herbicides, trained on a dataset of 5,000 images from Lebanese onion fields. Graduate of Berytech's Agrytech Accelerator (Batch 3), now scaling via Brightlands Campus Greenport Venlo in the Netherlands and winner of the AI &amp; Robotics in Agriculture Demo Day (June 2025).</t>
  </si>
  <si>
    <t xml:space="preserve">EIT Food</t>
  </si>
  <si>
    <t xml:space="preserve">https://www.eitfood.eu/news/luxeed-robotics-aims-to-revolutionise-weed-control</t>
  </si>
  <si>
    <t xml:space="preserve">Lebanese origin and founding team verified via Berytech feature (berytech.org/zoom-in-luxeed-robotics); EU traction verified via EIT Food article. [Added 2026-08-05 expansion pass]</t>
  </si>
  <si>
    <t xml:space="preserve">Medicus AI</t>
  </si>
  <si>
    <t xml:space="preserve">AI platform interpreting blood tests and medical reports into patient-friendly insights, also serving diagnostic labs and insurers. Founded 2015; HQ Vienna with a major Beirut engineering office.</t>
  </si>
  <si>
    <t xml:space="preserve">$7,400,000 (UNCONFIRMED - see note)</t>
  </si>
  <si>
    <t xml:space="preserve">Medicus AI (official) / Forbes Middle East</t>
  </si>
  <si>
    <t xml:space="preserve">https://medicus.ai/about</t>
  </si>
  <si>
    <t xml:space="preserve">Funding figures conflict sharply across sources: Forbes Middle East lists $7.4M, Tracxn lists $3.15M, GetLatka lists $7.3M, and the Series B was separately announced at ~$22M. Recorded here is the Forbes figure; treat as approximate pending a single authoritative source. [Reclassified 2026-08-01] Old Sector: 'Healthtech' -&gt; New: 'Health'. Old Entity Type: 'Startup' -&gt; New Ecosystem Type: 'Startup'. [Refined 2026-08-02] Sector set to 'Health'. Maturity inferred as 'Established' (funding&gt;=5M ($7,400,000)).</t>
  </si>
  <si>
    <t xml:space="preserve">Telecom / AI value-added services</t>
  </si>
  <si>
    <t xml:space="preserve">Monty Mobile</t>
  </si>
  <si>
    <t xml:space="preserve">Beirut-founded global telecom solutions provider (founder Mountasser Hachem) that announced in 2023 it was integrating AI across its value-added services, using machine learning for telecom traffic analytics, anti-fraud and customer engagement for mobile operators in 75+ countries.</t>
  </si>
  <si>
    <t xml:space="preserve">Corporate AI announcement</t>
  </si>
  <si>
    <t xml:space="preserve">https://www.prnewswire.com/news-releases/monty-mobile-the-1st-global-telco-company-integrating-ai-to-revolutionize-its-value-added-services-301785770.html</t>
  </si>
  <si>
    <t xml:space="preserve">AI integration announced via PR Newswire; Lebanese founding and Beirut HQ cross-checked via Entrepreneur Middle East and Gulf Business profiles. [Added 2026-08-05 expansion pass]</t>
  </si>
  <si>
    <t xml:space="preserve">Deep-tech Hardware</t>
  </si>
  <si>
    <t xml:space="preserve">MultiLane SAL</t>
  </si>
  <si>
    <t xml:space="preserve">Manufacturer of high-speed test/measurement instrumentation for data-center interconnects, increasingly serving the AI data-center hardware supply chain (clients include Microsoft, Apple, Google).</t>
  </si>
  <si>
    <t xml:space="preserve">2006</t>
  </si>
  <si>
    <t xml:space="preserve">MultiLane (official)</t>
  </si>
  <si>
    <t xml:space="preserve">https://www.multilaneinc.com/</t>
  </si>
  <si>
    <t xml:space="preserve">AI is not core - MultiLane makes test equipment used in AI networks. Flagship deep-tech hardware success story cited by Lebanon's Minister of State for Technology and AI. ~250 employees, based in Houmal. [Reclassified 2026-08-01] Old Sector: 'Enterprise AI' -&gt; New: 'Industry'. Old Entity Type: 'Startup' -&gt; New Ecosystem Type: 'Startup'. [Refined 2026-08-02] Sector set to 'Industry'. Maturity inferred as 'Early' (default for Startup/R&amp;D with no funding signal).</t>
  </si>
  <si>
    <t xml:space="preserve">Autonomous drones / computer vision</t>
  </si>
  <si>
    <t xml:space="preserve">NAR (Next Automated Robots)</t>
  </si>
  <si>
    <t xml:space="preserve">Beirut-founded startup (founder Nicolas Zaatar) whose AI software turns commercial drones into autonomous inspection and monitoring tools for infrastructure, agriculture and firefighting; featured by IFC as a driver of Lebanon's tech sector and acquired by US-based B3Bar Holdings in August 2020.</t>
  </si>
  <si>
    <t xml:space="preserve">Acquisition announcement</t>
  </si>
  <si>
    <t xml:space="preserve">2020-08</t>
  </si>
  <si>
    <t xml:space="preserve">https://www.wamda.com/2020/08/nar-technologies-acquired-based-b3bar-holdings</t>
  </si>
  <si>
    <t xml:space="preserve">Acquisition verified via Wamda and The Startup Scene; company background cross-checked with Berytech and IFC features. [Added 2026-08-05 expansion pass]</t>
  </si>
  <si>
    <t xml:space="preserve">AI Trading</t>
  </si>
  <si>
    <t xml:space="preserve">Neotic</t>
  </si>
  <si>
    <t xml:space="preserve">Lebanese fintech providing AI-driven trade ideas and backtesting tools for stock market decision-making.</t>
  </si>
  <si>
    <t xml:space="preserve">SEO-grade source; confirm against neotic.ai before relying on details. | Merged from the northern-Mediterranean extension. Original taxonomy: sector 'Fintech', application sector 'Finance', entity type 'Startup'. Maturity not recorded in the source.</t>
  </si>
  <si>
    <t xml:space="preserve">Predictive Analytics</t>
  </si>
  <si>
    <t xml:space="preserve">Neotic (Neotic.ai)</t>
  </si>
  <si>
    <t xml:space="preserve">Machine learning for financial markets - price-pattern recognition, news/fundamentals analysis, automated trading strategies. Based in Tripoli.</t>
  </si>
  <si>
    <t xml:space="preserve">Crunchbase / TechCrunch</t>
  </si>
  <si>
    <t xml:space="preserve">https://www.f6s.com/company/neotic.ai</t>
  </si>
  <si>
    <t xml:space="preserve">Cross-checked with Crunchbase; Flat6Labs alumnus. [Reclassified 2026-08-01] Old Sector: 'Fintech' -&gt; New: 'Industry'. Old Entity Type: 'Startup' -&gt; New Ecosystem Type: 'Startup'. [Refined 2026-08-02] Sector set to 'Industry'. Maturity inferred as 'Early' (default for Startup/R&amp;D with no funding signal). [Web re-verification 2026-08-05] Status 'Not yet verified' -&gt; 'Verified'. Nanalyze's Lebanese AI startups feature confirms Neotic is Tripoli-based with ML trading algorithms for NYSE/NASDAQ; also listed in TechCrunch Startup Battlefield, Crunchbase, PitchBook. Funding undisclosed, matching the row. Confirming source: https://www.nanalyze.com/2019/03/artificial-intelligence-lebanon/</t>
  </si>
  <si>
    <t xml:space="preserve">Solar energy AI monitoring</t>
  </si>
  <si>
    <t xml:space="preserve">NuWatt</t>
  </si>
  <si>
    <t xml:space="preserve">Lebanese cleantech startup ('Solar intelligence so no watt is lost') offering an AI-driven monitoring and optimization platform for solar PV systems, addressing Lebanon's decentralized solar boom. Supported by Berytech and Lebanon's Energy Innovation Lab and selected for Bay Area Pitch Night 2026.</t>
  </si>
  <si>
    <t xml:space="preserve">NuWatt (official site)</t>
  </si>
  <si>
    <t xml:space="preserve">https://www.nuwatt.co/en</t>
  </si>
  <si>
    <t xml:space="preserve">Cross-checked via Berytech startup profile and Energy Innovation Lab (EIL) LinkedIn feature on NuWatt's AI solar optimization. [Added 2026-08-05 expansion pass]</t>
  </si>
  <si>
    <t xml:space="preserve">Connected surgery / surgical AI</t>
  </si>
  <si>
    <t xml:space="preserve">Proximie</t>
  </si>
  <si>
    <t xml:space="preserve">Health-tech scale-up founded by Lebanese-British surgeon Nadine Hachach-Haram whose connected-operating-room platform uses augmented reality and AI to let surgeons remotely 'scrub in', record and analyze procedures; raised an $80M Series C in June 2022 and maintains a software engineering office in Beirut.</t>
  </si>
  <si>
    <t xml:space="preserve">$80,000,000</t>
  </si>
  <si>
    <t xml:space="preserve">https://www.prnewswire.com/news-releases/proximie-raises-80-million-in-series-c-funding-to-accelerate-product-expansion-of-full-service-connected-surgical-platform-301567075.html</t>
  </si>
  <si>
    <t xml:space="preserve">Series C verified via PR Newswire/Proximie press page; active Beirut engineering office verified via Proximie careers site job postings (Senior Software Engineer, Beirut). [Added 2026-08-05 expansion pass]</t>
  </si>
  <si>
    <t xml:space="preserve">Autonomous Robotics</t>
  </si>
  <si>
    <t xml:space="preserve">Revotonix</t>
  </si>
  <si>
    <t xml:space="preserve">Founded 2018 and described as the first startup in the Arab region developing fully autonomous mobile robots and mechatronics solutions; operates in Lebanon, UAE and Germany across hospitality, healthcare and intralogistics.</t>
  </si>
  <si>
    <t xml:space="preserve">Beirut AI (team profile)</t>
  </si>
  <si>
    <t xml:space="preserve">https://beirutai.org/meet-the-team-meetups/</t>
  </si>
  <si>
    <t xml:space="preserve">Description drawn from a co-founder bio on Beirut AI's site; confirm against Revotonix's own materials. | Merged from the northern-Mediterranean extension. Original taxonomy: sector 'Enterprise AI', application sector 'Industry', entity type 'Startup'. Maturity not recorded in the source.</t>
  </si>
  <si>
    <t xml:space="preserve">Tech &amp; AI skills training</t>
  </si>
  <si>
    <t xml:space="preserve">SE Factory</t>
  </si>
  <si>
    <t xml:space="preserve">Beirut-based tech talent training and placement company founded in 2016 that has trained over 1,200 engineers and designers; runs software engineering and data science bootcamps and launched a dedicated AI program in 2025, placing graduates with companies in 10+ countries.</t>
  </si>
  <si>
    <t xml:space="preserve">SE Factory (official site)</t>
  </si>
  <si>
    <t xml:space="preserve">https://www.sefactory.io/about</t>
  </si>
  <si>
    <t xml:space="preserve">Founding year, graduate numbers and 2025 AI program launch verified on official site; reviews cross-checked on Course Report. [Added 2026-08-05 expansion pass]</t>
  </si>
  <si>
    <t xml:space="preserve">Agentic AI for B2B sales</t>
  </si>
  <si>
    <t xml:space="preserve">Silni</t>
  </si>
  <si>
    <t xml:space="preserve">Lebanese agentic-AI platform (silni.ai) that automates B2B sales prospecting and lead generation, marketing itself to Lebanese advertising agencies and SMEs with AI agents that research prospects and personalize outreach.</t>
  </si>
  <si>
    <t xml:space="preserve">Silni (official site)</t>
  </si>
  <si>
    <t xml:space="preserve">https://silni.ai/en/blogs/silni-ai-b2b-sales-platform-advertising-agencies-lebanon</t>
  </si>
  <si>
    <t xml:space="preserve">Found via company website and a Lebanese startup roundup; no independent press coverage located yet, so flagged for follow-up. [Added 2026-08-05 expansion pass]</t>
  </si>
  <si>
    <t xml:space="preserve">Behavioral Health</t>
  </si>
  <si>
    <t xml:space="preserve">Slighter</t>
  </si>
  <si>
    <t xml:space="preserve">Smart connected lighter and companion app using an adaptive learning algorithm to build a personalized smoking-cessation program.</t>
  </si>
  <si>
    <t xml:space="preserve">$900,000</t>
  </si>
  <si>
    <t xml:space="preserve">CNN / Tracxn</t>
  </si>
  <si>
    <t xml:space="preserve">https://gust.com/companies/slighter</t>
  </si>
  <si>
    <t xml:space="preserve">Founded via Berytech; ~$900K from Berytech Fund II and MetLife. Now registered in Maryland, USA rather than Lebanon - confirm current Lebanon connection before publishing. [Reclassified 2026-08-01] Old Sector: 'Healthtech' -&gt; New: 'Health'. Old Entity Type: 'Startup' -&gt; New Ecosystem Type: 'Startup'. [Refined 2026-08-02] Sector set to 'Health'. Maturity inferred as 'Early' (funding&lt;1M ($900,000)). [Web re-verification 2026-08-05] Status 'Not yet verified' -&gt; 'Verified'. CNN Business (2019) profiled Slighter, the smart lighter by Lebanese founder that builds a personalized quit-smoking program via adaptive algorithms; ~$900K funding is reported by aggregators (Tracxn/Gust). Confirming source: https://www.cnn.com/2019/03/18/tech/slighter-smart-lighter Correction noted: Gust lists a US (Maryland) registered address; the company is Lebanese-founded and covered as a Lebanese startup.</t>
  </si>
  <si>
    <t xml:space="preserve">AI-enabled tutoring</t>
  </si>
  <si>
    <t xml:space="preserve">Synkers (Ostaz)</t>
  </si>
  <si>
    <t xml:space="preserve">Beirut-founded tutoring marketplace that evolved into the Ostaz smart learning app with personalized, data-driven tutoring; raised $1.8M pre-Series A and was acquired by global schools group Inspired Education, marking one of Lebanon's notable edtech exits.</t>
  </si>
  <si>
    <t xml:space="preserve">$1,800,000</t>
  </si>
  <si>
    <t xml:space="preserve">MENA.news</t>
  </si>
  <si>
    <t xml:space="preserve">https://mena.news/edtech-synkers-is-acquired-by-inspired/</t>
  </si>
  <si>
    <t xml:space="preserve">Funding verified via The Startup Scene/the961; acquisition by Inspired verified via MENA.news and MAGNiTT. [Added 2026-08-05 expansion pass]</t>
  </si>
  <si>
    <t xml:space="preserve">AI geopolitical intelligence platform</t>
  </si>
  <si>
    <t xml:space="preserve">World Monitor</t>
  </si>
  <si>
    <t xml:space="preserve">AI-driven real-time global events and crisis-tracking dashboard created by Lebanese entrepreneur Elie Habib (co-founder of Anghami), which maps and summarizes geopolitical developments from hundreds of sources and has drawn millions of users since going viral in 2025-2026.</t>
  </si>
  <si>
    <t xml:space="preserve">L'Orient Today</t>
  </si>
  <si>
    <t xml:space="preserve">https://today.lorientlejour.com/article/1496089/world-monitor-how-anghami-ceos-side-project-became-a-go-to-for-geopolitics-research.html</t>
  </si>
  <si>
    <t xml:space="preserve">Covered by L'Orient Today, Arabian Business (exclusive interview) and LAU News profile of founder Elie Habib. [Added 2026-08-05 expansion pass]</t>
  </si>
  <si>
    <t xml:space="preserve">AI talent development &amp; consulting</t>
  </si>
  <si>
    <t xml:space="preserve">ZAKA AI</t>
  </si>
  <si>
    <t xml:space="preserve">Beirut-based AI education and consulting startup founded by Christophe Zoghbi (also founder of the Beirut AI community) that runs AI bootcamps and certification programs through its AI Brainery academy and delivers applied AI services to businesses across MENA.</t>
  </si>
  <si>
    <t xml:space="preserve">ZAKA AI (official site)</t>
  </si>
  <si>
    <t xml:space="preserve">https://zaka.ai/</t>
  </si>
  <si>
    <t xml:space="preserve">Cross-checked via company Medium story, Course Report reviews and Beirut Digital District blog feature on ZAKA's CEO. [Added 2026-08-05 expansion pass]</t>
  </si>
  <si>
    <t xml:space="preserve">AI Education &amp; Consulting</t>
  </si>
  <si>
    <t xml:space="preserve">Zaka</t>
  </si>
  <si>
    <t xml:space="preserve">Beirut community-driven AI company (founded 2020) offering AI education programs (AI Bootcamp, SEEDS), corporate AI consulting and talent placement across MENA; Microsoft Global Training Partner with 110+ AI engineers graduated and 2,500+ upskilled.</t>
  </si>
  <si>
    <t xml:space="preserve">Company website (Zaka)</t>
  </si>
  <si>
    <t xml:space="preserve">AI Agent Platforms</t>
  </si>
  <si>
    <t xml:space="preserve">aiXplain</t>
  </si>
  <si>
    <t xml:space="preserve">No-code/low-code platform for building and deploying AI agents, 'agentifying' 40,000+ AI models across 55+ functions. Founded by Hassan Sawaf (Lebanese-origin, ex-Meta/Amazon/eBay AI Director).</t>
  </si>
  <si>
    <t xml:space="preserve">$16,500,000</t>
  </si>
  <si>
    <t xml:space="preserve">aiXplain (official) / SiliconANGLE</t>
  </si>
  <si>
    <t xml:space="preserve">https://aixplain.com/blog</t>
  </si>
  <si>
    <t xml:space="preserve">Raised $8M seed (2023) + $6.5M pre-Series A (2024) led by Wa'ed Ventures (Aramco-backed) - its first direct US investment. Lebanese-founded, HQ San Jose, California. [Reclassified 2026-08-01] Old Sector: 'Enterprise AI' -&gt; New: 'Industry'. Old Entity Type: 'Startup' -&gt; New Ecosystem Type: 'Startup'. [Refined 2026-08-02] Sector set to 'Industry'. Maturity inferred as 'Established' (funding&gt;=5M ($16,500,000)).</t>
  </si>
  <si>
    <t xml:space="preserve">Predictive Maintenance</t>
  </si>
  <si>
    <t xml:space="preserve">dox (dox.tech)</t>
  </si>
  <si>
    <t xml:space="preserve">Predictive-maintenance ML platform for EV batteries and fleets.</t>
  </si>
  <si>
    <t xml:space="preserve">https://dox.tech/</t>
  </si>
  <si>
    <t xml:space="preserve">Cross-checked with We Are Tech; featured in inwi innov Connect. [Reclassified 2026-08-01] Old Sector: 'Enterprise AI' -&gt; New: 'Industry'. Old Entity Type: 'Startup' -&gt; New Ecosystem Type: 'Startup'. [Refined 2026-08-02] Sector set to 'Industry'. Maturity inferred as 'Early' (default for Startup/R&amp;D with no funding signal). [Web re-verification 2026-08-05] Status 'Not yet verified' -&gt; 'Verified'. Nanalyze confirms dox (founded 2017, Lebanon) built a predictive-maintenance platform for EV batteries with undisclosed funding; also listed on Crunchbase and Lebanese Tech directories, with an active official site dox.tech. Confirming source: https://www.nanalyze.com/2019/03/artificial-intelligence-lebanon/</t>
  </si>
  <si>
    <t xml:space="preserve">Conversational AI micro-learning</t>
  </si>
  <si>
    <t xml:space="preserve">eFlow.ai</t>
  </si>
  <si>
    <t xml:space="preserve">Lebanese-founded conversational-AI learning platform (based at Beirut Digital District with a Dubai entity) that delivers bite-sized training courses directly inside WhatsApp, Microsoft Teams, Telegram and Slack, and is expanding to international markets.</t>
  </si>
  <si>
    <t xml:space="preserve">Beirut Digital District (LinkedIn)</t>
  </si>
  <si>
    <t xml:space="preserve">https://www.linkedin.com/posts/beirut-digital-district_how-eflow-brought-conversational-learning-activity-7418234034201395200-gCyQ</t>
  </si>
  <si>
    <t xml:space="preserve">Verified via Beirut Digital District feature, company LinkedIn page and Crunchbase profile (eFlow FZ-LLC). [Added 2026-08-05 expansion pass]</t>
  </si>
  <si>
    <t xml:space="preserve">Morocco</t>
  </si>
  <si>
    <t xml:space="preserve">Grassroots AI Community</t>
  </si>
  <si>
    <t xml:space="preserve">AI4Morocco</t>
  </si>
  <si>
    <t xml:space="preserve">Citizen-led movement building Morocco's AI ecosystem through curated educational resources and hands-on workshops for students, educators and professionals.</t>
  </si>
  <si>
    <t xml:space="preserve">AI4Morocco (official)</t>
  </si>
  <si>
    <t xml:space="preserve">https://www.ai4morocco.org/en</t>
  </si>
  <si>
    <t xml:space="preserve">[Reclassified 2026-08-01] Old Sector: 'General' -&gt; New: 'Education'. Old Entity Type: 'Hub' -&gt; New Ecosystem Type: 'Conference/Summit'. [Refined 2026-08-02] Sector set to 'Education'. Maturity inferred as 'Established' (structural-type). [Manual fix 2026-08-03] Entity Type corrected from 'Conference/Summit' to 'Community/Association'. Was Conference/Summit - the classifier matched 'conference' from a secondary detail ('organises the annual MoroccoAI conference') before reaching the community-signal check, even though the entity's own name is literally 'Moroccan AI Society' and its Sub-Sector is 'AI Community / Ecosystem'. [Audit 2026-08-05] Sector corrected: 'Education' -&gt; 'Industry'. [Audit 2026-08-05] Reason: general-purpose AI community -&gt; Industry fallback [Web re-verification 2026-08-05] Status 'Not yet verified' -&gt; 'Verified'. Official site ai4morocco.org is live with working groups, educational resources and community programming matching the description of a citizen-led movement building Morocco's AI ecosystem. Confirming source: https://www.ai4morocco.org/en</t>
  </si>
  <si>
    <t xml:space="preserve">NLP / Darija LLMs</t>
  </si>
  <si>
    <t xml:space="preserve">AtlasIA</t>
  </si>
  <si>
    <t xml:space="preserve">Non-profit Moroccan AI community building open-source models/datasets for Moroccan dialects; released the Terjman translation LLMs and AtlasOCR (first open-source 3B Darija OCR model).</t>
  </si>
  <si>
    <t xml:space="preserve">https://www.middleeastainews.com/p/atlasia-releases-smarter-moroccan-llms</t>
  </si>
  <si>
    <t xml:space="preserve">Models on Hugging Face; official site atlasia.ma. [Reclassified 2026-08-01] Old Sector: 'General' -&gt; New: 'Energy, Agriculture, Maritime, Health, Industry, Education'. Old Entity Type: 'Hub' -&gt; New Ecosystem Type: 'Community/Association'. [Refined 2026-08-02] Sector forced to single label 'Industry' (was multi-sector: Energy, Agriculture, Maritime, Health, Industry, Education). Maturity inferred as 'Established' (structural-type).</t>
  </si>
  <si>
    <t xml:space="preserve">STEM &amp; AI Talent Community</t>
  </si>
  <si>
    <t xml:space="preserve">Math&amp;Maroc</t>
  </si>
  <si>
    <t xml:space="preserve">Non-profit association of Moroccan scientists and alumni that trains and promotes young Moroccan talent through math and AI competitions and camps (Math&amp;Maroc Competition, olympiad prep, MTYM) and co-organizes the Think AI Maroc hackathon.</t>
  </si>
  <si>
    <t xml:space="preserve">https://mathmaroc.org/</t>
  </si>
  <si>
    <t xml:space="preserve">Verified via the association's official website, GitHub organization and press coverage of its 2025 competition. [Added 2026-08-05 expansion pass]</t>
  </si>
  <si>
    <t xml:space="preserve">Data Science Community</t>
  </si>
  <si>
    <t xml:space="preserve">Moroccan Data Scientists (MDS)</t>
  </si>
  <si>
    <t xml:space="preserve">Community-driven initiative promoting data science/AI in Morocco: #DataStart program, seminars, open-source projects on GitHub and Hugging Face.</t>
  </si>
  <si>
    <t xml:space="preserve">Moroccan Data Scientists (official)</t>
  </si>
  <si>
    <t xml:space="preserve">https://moroccands.com/</t>
  </si>
  <si>
    <t xml:space="preserve">Activity cross-checked on GitHub org and Hugging Face. [Reclassified 2026-08-01] Old Sector: 'General' -&gt; New: 'Energy, Agriculture, Maritime, Health, Industry, Education'. Old Entity Type: 'Hub' -&gt; New Ecosystem Type: 'Community/Association'. [Refined 2026-08-02] Sector forced to single label 'Industry' (was multi-sector: Energy, Agriculture, Maritime, Health, Industry, Education). Maturity inferred as 'Established' (structural-type).</t>
  </si>
  <si>
    <t xml:space="preserve">AI Professional Society</t>
  </si>
  <si>
    <t xml:space="preserve">Moroccan Society of AI (SMIA)</t>
  </si>
  <si>
    <t xml:space="preserve">Moroccan professional society promoting AI and machine-learning research, community and knowledge-sharing.</t>
  </si>
  <si>
    <t xml:space="preserve">SMIA (official)</t>
  </si>
  <si>
    <t xml:space="preserve">https://www.smia.ma/en/artificial-intelligence-morocco/</t>
  </si>
  <si>
    <t xml:space="preserve">Official society site. [Reclassified 2026-08-01] Old Sector: 'General' -&gt; New: 'Education'. Old Entity Type: 'Hub' -&gt; New Ecosystem Type: 'Community/Association'. [Refined 2026-08-02] Sector set to 'Industry'. Maturity inferred as 'Established' (structural-type).</t>
  </si>
  <si>
    <t xml:space="preserve">MoroccoAI (Moroccan AI Society)</t>
  </si>
  <si>
    <t xml:space="preserve">Professional AI community focused on education, research and innovation; organises the annual MoroccoAI conference and meetups.</t>
  </si>
  <si>
    <t xml:space="preserve">MoroccoAI</t>
  </si>
  <si>
    <t xml:space="preserve">https://morocco.ai/</t>
  </si>
  <si>
    <t xml:space="preserve">[Pending verification] Self-published source only; distinct from MoroccoAI/AtlasIA. [Reclassified 2026-08-01] Old Sector: 'General' -&gt; New: 'Education'. Old Entity Type: 'Hub' -&gt; New Ecosystem Type: 'Community/Association'. [Refined 2026-08-02] Sector set to 'Education'. Maturity inferred as 'Established' (structural-type). [Audit 2026-08-05] Sector corrected: 'Education' -&gt; 'Industry'. [Audit 2026-08-05] Reason: general-purpose AI community -&gt; Industry fallback, consistent with BeirutAI/Masaar</t>
  </si>
  <si>
    <t xml:space="preserve">National AI Policy Conference</t>
  </si>
  <si>
    <t xml:space="preserve">Assises Nationales de l'Intelligence Artificielle</t>
  </si>
  <si>
    <t xml:space="preserve">Morocco's first national AI conference, held 1-2 July 2025 in Rabat under the Ministry of Digital Transition and Administration Reform, convening government, researchers and industry to frame the national AI roadmap and South-South AI cooperation.</t>
  </si>
  <si>
    <t xml:space="preserve">Ministere de la Transition Numerique et de la Reforme de l'Administration</t>
  </si>
  <si>
    <t xml:space="preserve">https://www.mmsp.gov.ma/fr/actualites/les-assises-nationales-de-lintelligence-artificielle-2025</t>
  </si>
  <si>
    <t xml:space="preserve">Verified on the organizing ministry's official website and wide national press coverage (SNRT, TelQuel, H24info). [Added 2026-08-05 expansion pass]</t>
  </si>
  <si>
    <t xml:space="preserve">AI/ML Event</t>
  </si>
  <si>
    <t xml:space="preserve">Deep Learning IndabaX Morocco</t>
  </si>
  <si>
    <t xml:space="preserve">Moroccan national chapter of the Deep Learning Indaba, running annual machine-learning / deep-learning conferences and workshops.</t>
  </si>
  <si>
    <t xml:space="preserve">IndabaX Morocco</t>
  </si>
  <si>
    <t xml:space="preserve">https://indabaxmorocco.github.io/</t>
  </si>
  <si>
    <t xml:space="preserve">Confirmed via dedicated research pass: real event under the pan-African Deep Learning Indaba. [Reclassified 2026-08-01] Old Sector: 'General' -&gt; New: 'Education'. Old Entity Type: 'Hub' -&gt; New Ecosystem Type: 'Conference/Summit'. [Refined 2026-08-02] Sector set to 'Industry'. Maturity inferred as 'Established' (structural-type).</t>
  </si>
  <si>
    <t xml:space="preserve">Developer &amp; AI Technology Conference</t>
  </si>
  <si>
    <t xml:space="preserve">Devoxx Morocco</t>
  </si>
  <si>
    <t xml:space="preserve">Largest developer conference in Morocco and Africa's chapter of the global Devoxx series, running since 2012 (formerly JMaghreb); its 12th edition in 2025 put artificial intelligence at the heart of the program with thousands of developers attending.</t>
  </si>
  <si>
    <t xml:space="preserve">https://devoxx.ma/</t>
  </si>
  <si>
    <t xml:space="preserve">Verified via the conference's official website and devoxx.com network listing; 2025 AI-focus confirmed by event coverage. [Added 2026-08-05 expansion pass]</t>
  </si>
  <si>
    <t xml:space="preserve">Tech / AI Trade Show</t>
  </si>
  <si>
    <t xml:space="preserve">GITEX Africa (Marrakech)</t>
  </si>
  <si>
    <t xml:space="preserve">Africa's largest tech and startup trade show, held annually in Marrakech under royal patronage; AI and digital infrastructure were headline themes at the 2025 and 2026 editions.</t>
  </si>
  <si>
    <t xml:space="preserve">https://techafricanews.com/2025/03/18/gitex-africa-morocco-2025-africas-tech-powerhouse-returns-bigger-than-ever/</t>
  </si>
  <si>
    <t xml:space="preserve">Global WAI affiliation stated in article.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</si>
  <si>
    <t xml:space="preserve">AI Industry Conference</t>
  </si>
  <si>
    <t xml:space="preserve">GenAI Summit Maroc</t>
  </si>
  <si>
    <t xml:space="preserve">Annual generative-AI summit in Casablanca (2nd edition Dec 2-3, 2025) convening 250+ AI leaders; positions Morocco as regional GenAI hub.</t>
  </si>
  <si>
    <t xml:space="preserve">CollabConf (official)</t>
  </si>
  <si>
    <t xml:space="preserve">https://www.collabconf.com/genai/morocco/</t>
  </si>
  <si>
    <t xml:space="preserve">Cross-checked with Xinhua and allAfrica.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</si>
  <si>
    <t xml:space="preserve">AI in Healthcare Conference</t>
  </si>
  <si>
    <t xml:space="preserve">Med AI 2026 (FM6SS)</t>
  </si>
  <si>
    <t xml:space="preserve">Conference on artificial intelligence in healthcare organized by the Fondation Mohammed VI des Sciences et de la Sante alongside GITEX Future Health Africa 2026, gathering researchers, physicians and industry on medical imaging AI, clinical decision support, precision medicine and health-data governance.</t>
  </si>
  <si>
    <t xml:space="preserve">SanteMag.ma</t>
  </si>
  <si>
    <t xml:space="preserve">https://santemag.ma/med-ai-2026-le-pr-jioudi-detaille-la-strategie-ia-de-la-fm6ss-en-sante/</t>
  </si>
  <si>
    <t xml:space="preserve">Verified via Moroccan health-sector press interview with FM6SS's Pr Jioudi detailing the event and the foundation's AI strategy. [Added 2026-08-05 expansion pass]</t>
  </si>
  <si>
    <t xml:space="preserve">Smart Ports Trade Show</t>
  </si>
  <si>
    <t xml:space="preserve">SIPORTS - Salon International des Ports (Casablanca)</t>
  </si>
  <si>
    <t xml:space="preserve">International ports exhibition and conference held in Casablanca (4th edition in April 2026) covering smart ports, port AI, digitalization and logistics; hosts PortNet's Rencontres du Digital ('Smart Ports, Smart Trade') and the Smart Port Challenge finals.</t>
  </si>
  <si>
    <t xml:space="preserve">Maritime News (maritimenews.ma)</t>
  </si>
  <si>
    <t xml:space="preserve">https://www.maritimenews.ma/7-science/15022-siports-2026-la-4e-edition-du-smart-port-challenge-consacre-l-innovation-portuaire-internationale</t>
  </si>
  <si>
    <t xml:space="preserve">Verified via Moroccan maritime trade press and the event's own site siportevent.com which publishes port-AI content. [Added 2026-08-05 expansion pass]</t>
  </si>
  <si>
    <t xml:space="preserve">Women in AI Network</t>
  </si>
  <si>
    <t xml:space="preserve">Women in AI Morocco</t>
  </si>
  <si>
    <t xml:space="preserve">National chapter of the global Women in AI network launched at an inaugural Casablanca summit (Dec 5, 2025) with keynote by IBM's Dr. Kaoutar El Maghraoui.</t>
  </si>
  <si>
    <t xml:space="preserve">Chapter launch</t>
  </si>
  <si>
    <t xml:space="preserve">Morocco World News</t>
  </si>
  <si>
    <t xml:space="preserve">https://www.moroccoworldnews.com/2025/12/270367/women-in-ai-morocco-to-launch-national-chapter-at-casablanca-summit/</t>
  </si>
  <si>
    <t xml:space="preserve">Listed among Morocco AI events on aggregators. [Reclassified 2026-08-01] Old Sector: 'General'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</si>
  <si>
    <t xml:space="preserve">Corporate Venture Capital</t>
  </si>
  <si>
    <t xml:space="preserve">Al Mada Ventures</t>
  </si>
  <si>
    <t xml:space="preserve">Casablanca-based evergreen venture arm of the Al Mada holding group investing in fintech, digital services and AI-enabled startups across Africa; together with UM6P Ventures it drove about 70% of domestic Moroccan startup funding in 2024.</t>
  </si>
  <si>
    <t xml:space="preserve">2026-03</t>
  </si>
  <si>
    <t xml:space="preserve">African Business</t>
  </si>
  <si>
    <t xml:space="preserve">https://african.business/2026/03/innov-africa-deals/morocco-rising-inside-the-kingdoms-startup-and-vc-revolution</t>
  </si>
  <si>
    <t xml:space="preserve">Role and 2024 market share verified in African Business's March 2026 Morocco VC analysis; fund also profiled on almada.ma. [Added 2026-08-05 expansion pass]</t>
  </si>
  <si>
    <t xml:space="preserve">Azur Innovation Fund</t>
  </si>
  <si>
    <t xml:space="preserve">Casablanca-based VC investing in high-impact tech; led the $1M round into AI healthtech startup DataPathology.</t>
  </si>
  <si>
    <t xml:space="preserve">https://www.wamda.com/2023/05/moroccan-healthtech-datapathology-raises-1-million-azur-innovation-fund</t>
  </si>
  <si>
    <t xml:space="preserve">[Reclassified 2026-08-01] Old Sector: 'General' -&gt; New: 'Health'. Old Entity Type: 'Investor' -&gt; New Ecosystem Type: 'Funding'. [Refined 2026-08-02] Sector set to 'Health'. Maturity inferred as 'Established' (structural-type).</t>
  </si>
  <si>
    <t xml:space="preserve">Venture Capital / Investment</t>
  </si>
  <si>
    <t xml:space="preserve">CDG Invest</t>
  </si>
  <si>
    <t xml:space="preserve">Rabat-based investment arm of Caisse de Depot et de Gestion (2019) investing in Moroccan/African tech; investor in Freterium, backer of 212 Founders.</t>
  </si>
  <si>
    <t xml:space="preserve">CDG (official)</t>
  </si>
  <si>
    <t xml:space="preserve">https://www.cdg.ma/en/investment-0</t>
  </si>
  <si>
    <t xml:space="preserve">State-linked CDG; confirmed Freterium investor.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</si>
  <si>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Flat6Labs Morocco (with Tamwilcom)</t>
  </si>
  <si>
    <t xml:space="preserve">MENA seed/early-stage VC firm's first Morocco expansion, an accelerator targeting AgriTech, FinTech, GreenTech, AI and digital health startups, run with public financial institution Tamwilcom.</t>
  </si>
  <si>
    <t xml:space="preserve">2025-04-28</t>
  </si>
  <si>
    <t xml:space="preserve">Tech In Africa</t>
  </si>
  <si>
    <t xml:space="preserve">https://www.techinafrica.com/flat6labs-and-tamwilcom-launch-accelerator-to-fuel-moroccos-tech-startup-ecosystem/</t>
  </si>
  <si>
    <t xml:space="preserve">Fonds Innov Invest (Tamwilcom)</t>
  </si>
  <si>
    <t xml:space="preserve">Morocco's central public startup-financing instrument (since 2016, World Bank-supported), managed by Tamwilcom: pre-seed grants, TECH START/TECH BOOST, equity via VC funds; ~470-700 startups backed; feeds a MAD 2.5bn fund-of-funds initiative.</t>
  </si>
  <si>
    <t xml:space="preserve">Fund profile</t>
  </si>
  <si>
    <t xml:space="preserve">Fonds Innov Invest (official)</t>
  </si>
  <si>
    <t xml:space="preserve">https://www.innovinvest.ma/</t>
  </si>
  <si>
    <t xml:space="preserve">[Pending verification] AI-specific mandate moderate. Confirmed via dedicated research pass: real Tunis-based PE/VC (est. 1994, ~$1B AUM), co-financed InstaDeep's Series A. Note: generalist PE/VC investor, not AI-exclusive - AI is one of several sectors it backs.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</si>
  <si>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Maroc Numeric Fund II (MNF Ventures)</t>
  </si>
  <si>
    <t xml:space="preserve">Moroccan VC (MNF Ventures, formerly MITC Capital) backing seed/Series A tech; led ATLAN Space's AI Series A round.</t>
  </si>
  <si>
    <t xml:space="preserve">https://disruptafrica.com/2020/11/05/moroccan-startup-atlan-space-raises-1-1m-series-a-round/</t>
  </si>
  <si>
    <t xml:space="preserve">Cross-referenced with Talaty and Enakl funding.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</si>
  <si>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Sovereign Growth-Stage Startup Fund</t>
  </si>
  <si>
    <t xml:space="preserve">Mohammed VI Investment Fund (FM6I) - Startup Vehicle</t>
  </si>
  <si>
    <t xml:space="preserve">State strategic investment fund whose ~$150 million startup vehicle provides late-stage growth capital to Moroccan tech and AI-enabled startups, complementing the World Bank-backed $50 million Innov Invest pre-seed/seed fund under the Digital Morocco 2030 push.</t>
  </si>
  <si>
    <t xml:space="preserve">Startup-vehicle size and mandate reported in African Business's Morocco ecosystem review; FM6I is a state fund created by law in 2022. [Added 2026-08-05 expansion pass]</t>
  </si>
  <si>
    <t xml:space="preserve">Early-stage Africa VC</t>
  </si>
  <si>
    <t xml:space="preserve">Outlierz Ventures</t>
  </si>
  <si>
    <t xml:space="preserve">Morocco-based early-stage VC investing across Africa in fintech, insurtech, agritech, healthtech and logistics tech.</t>
  </si>
  <si>
    <t xml:space="preserve">Outlierz Ventures (official)</t>
  </si>
  <si>
    <t xml:space="preserve">https://www.outlierzventures.com/</t>
  </si>
  <si>
    <t xml:space="preserve">Official site; invested in Freterium. [Reclassified 2026-08-01] Old Sector: 'General' -&gt; New: 'Agriculture'. Old Entity Type: 'Investor' -&gt; New Ecosystem Type: 'Funding'. [Refined 2026-08-02] Sector set to 'Agriculture'. Maturity inferred as 'Established' (structural-type).</t>
  </si>
  <si>
    <t xml:space="preserve">UM6P Ventures</t>
  </si>
  <si>
    <t xml:space="preserve">early-stage investment arm of University Mohammed VI Polytechnic, backed by OCP Group, focusing on advancing scientific and tech-driven innovations in Africa through Digital Transformation and Deeptech funds. The firm supports startups in AgTech, GreenTech, HealthTech, and Industry and AI, offering capital, infrastructure, and programs like Plug and Play Morocco and U-Foundersh .</t>
  </si>
  <si>
    <t xml:space="preserve">2021-04-01</t>
  </si>
  <si>
    <t xml:space="preserve">Company website (UM6P Ventures)</t>
  </si>
  <si>
    <t xml:space="preserve">https://um6pventures.com/</t>
  </si>
  <si>
    <t xml:space="preserve">Early-stage Tech / B2B VC</t>
  </si>
  <si>
    <t xml:space="preserve">Witamax</t>
  </si>
  <si>
    <t xml:space="preserve">Moroccan early-stage venture fund backing software, IT and B2B startups (incl. AI fintech Talaty, mobility Enakl).</t>
  </si>
  <si>
    <t xml:space="preserve">XYZ Lab</t>
  </si>
  <si>
    <t xml:space="preserve">https://www.xyzlab.com/post/venture-capital-firms-in-morocco</t>
  </si>
  <si>
    <t xml:space="preserve">Agritech Open Innovation Challenge</t>
  </si>
  <si>
    <t xml:space="preserve">AgriTech4Morocco Innovation Challenge</t>
  </si>
  <si>
    <t xml:space="preserve">National open-innovation challenge (launched 2022) selecting Moroccan agritech startups (10 finalists in the first edition, including PCS Agri) to develop digital and AI solutions for Moroccan agriculture under the Generation Green ecosystem.</t>
  </si>
  <si>
    <t xml:space="preserve">2022-05-28</t>
  </si>
  <si>
    <t xml:space="preserve">Medias24</t>
  </si>
  <si>
    <t xml:space="preserve">https://medias24.com/2022/05/28/voici-les-10-startups-selectionnees-dans-lagritech4morocco-innovation-challenge</t>
  </si>
  <si>
    <t xml:space="preserve">Verified via Medias24 and AgriMaroc coverage listing the 10 selected startups. [Added 2026-08-05 expansion pass]</t>
  </si>
  <si>
    <t xml:space="preserve">Port Innovation Hackathon</t>
  </si>
  <si>
    <t xml:space="preserve">Smart Port Challenge (PortNet / ANP)</t>
  </si>
  <si>
    <t xml:space="preserve">Morocco's first port-sector open-innovation hackathon, organized by PORTNET S.A. and the Agence Nationale des Ports since 2019/2020; the 4th edition concluded at SIPORTS 2026 in Casablanca with 400+ participants and 47 projects on AI, decarbonization and port-flow prediction.</t>
  </si>
  <si>
    <t xml:space="preserve">2026-04-19</t>
  </si>
  <si>
    <t xml:space="preserve">PortNet</t>
  </si>
  <si>
    <t xml:space="preserve">https://www.portnet.ma/web/innovation/smart-port-challenge-2026</t>
  </si>
  <si>
    <t xml:space="preserve">Verified on PortNet's official innovation portal and cross-checked with Maritime News coverage of the 2026 edition results. [Added 2026-08-05 expansion pass]</t>
  </si>
  <si>
    <t xml:space="preserve">Student AI Hackathon</t>
  </si>
  <si>
    <t xml:space="preserve">Think AI Maroc Hackathon</t>
  </si>
  <si>
    <t xml:space="preserve">National AI hackathon co-organized since 2023 by the 1337AI student club, UM6P and Math&amp;Maroc in Benguerir, billed as the first of its kind in Morocco; teams from Moroccan schools tackle AI challenges in robotics, agriculture, aeronautics and more (2024 edition covered by national press).</t>
  </si>
  <si>
    <t xml:space="preserve">2024-05</t>
  </si>
  <si>
    <t xml:space="preserve">https://medias24.com/2024/05/18/lecole-1337-organise-le-think-ai-maroc-2024/</t>
  </si>
  <si>
    <t xml:space="preserve">Verified via Medias24 and Le360 coverage plus the event's own site thinkai.ma. [Added 2026-08-05 expansion pass]</t>
  </si>
  <si>
    <t xml:space="preserve">Accelerator / Venture Builder</t>
  </si>
  <si>
    <t xml:space="preserve">212 Founders</t>
  </si>
  <si>
    <t xml:space="preserve">Casablanca acceleration + VC program (2019, backed by CDG Invest) supporting founders from concept to Series A across sectors including AI.</t>
  </si>
  <si>
    <t xml:space="preserve">IncubatorList</t>
  </si>
  <si>
    <t xml:space="preserve">https://incubatorlist.com/top-startup-accelerators-incubators-and-vcs-in-morocco</t>
  </si>
  <si>
    <t xml:space="preserve">CDG Invest program; cross-referenced.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</si>
  <si>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IT / Media Incubator</t>
  </si>
  <si>
    <t xml:space="preserve">Emerging Business Factory (EBF)</t>
  </si>
  <si>
    <t xml:space="preserve">Marrakech's first private IT and media incubator and coworking space in Sidi Ghanem, supporting digital/innovative startups.</t>
  </si>
  <si>
    <t xml:space="preserve">Emerging Business Factory (official)</t>
  </si>
  <si>
    <t xml:space="preserve">https://emergingbusinessfactory.com/en/about/</t>
  </si>
  <si>
    <t xml:space="preserve">Role in AI ecosystem cross-checked via press coverage.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</si>
  <si>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Social / Green-tech Incubator</t>
  </si>
  <si>
    <t xml:space="preserve">Espace Bidaya</t>
  </si>
  <si>
    <t xml:space="preserve">Casablanca social &amp; green-tech incubator (since 2015, Groupe SOS Maroc); 500+ projects assisted, incubating tech/AI ventures.</t>
  </si>
  <si>
    <t xml:space="preserve">Moroccopreneur</t>
  </si>
  <si>
    <t xml:space="preserve">https://moroccopreneur.com/en/bidaya-incubateur-moroccos-leading-startup-incubator-program/</t>
  </si>
  <si>
    <t xml:space="preserve">Cross-checked with incubator coverage.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 [Web re-verification 2026-08-05] Status 'Not yet verified' -&gt; 'Verified'. Official site incubateurbidaya.org plus Wamda and Moroccan press confirm Bidaya as a Casablanca social/green-tech incubator linked to Groupe SOS, operating since 2015 with multiple cohorts. Confirming source: https://incubateurbidaya.org/</t>
  </si>
  <si>
    <t xml:space="preserve">University Startup Accelerator</t>
  </si>
  <si>
    <t xml:space="preserve">IMPULSE (UM6P)</t>
  </si>
  <si>
    <t xml:space="preserve">UM6P (Benguerir) startup acceleration program selecting startups via an international call for applications.</t>
  </si>
  <si>
    <t xml:space="preserve">Program profile</t>
  </si>
  <si>
    <t xml:space="preserve">OCP Group</t>
  </si>
  <si>
    <t xml:space="preserve">https://www.ocpgroup.ma/en/news/um6p-welcomes-16-start-ups-selected-impulse</t>
  </si>
  <si>
    <t xml:space="preserve">Official OCP/UM6P announcement. [Reclassified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[Manual fix 2026-08-03, validation pass 2] Entity Type corrected from 'R&amp;D' to 'Incubator/Accelerator'. Was R&amp;D despite its own Sub-Sector explicitly saying 'University Startup Accelerator'. [Audit 2026-08-05] Maturity corrected: 'Early' -&gt; 'Established'. [Audit 2026-08-05] Reason: structural type per maturity rule (was left unadjusted after manual entity-type fix)</t>
  </si>
  <si>
    <t xml:space="preserve">Impact Incubator / Accelerator</t>
  </si>
  <si>
    <t xml:space="preserve">Impact Lab</t>
  </si>
  <si>
    <t xml:space="preserve">Casablanca incubator (2014) for high social/environmental-impact innovation; runs acceleration programs, partnered with NUMA.</t>
  </si>
  <si>
    <t xml:space="preserve">Startup Universal</t>
  </si>
  <si>
    <t xml:space="preserve">https://startupuniversal.com/country/morocco/</t>
  </si>
  <si>
    <t xml:space="preserve">[Pending verification] Aggregator source.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 [Web re-verification 2026-08-05] Status 'Not yet verified' -&gt; 'Verified'. Moroccan business press (EcoActu, Maroc Diplomatique) confirms Impact Lab is the Casablanca impact-innovation incubator that operated as NUMA Casablanca before reverting to its original Impact Lab brand, matching the NUMA partnership claim. Confirming source: https://ecoactu.ma/numa-casablanca-reprend-sa-marque-initiale-impact-lab/</t>
  </si>
  <si>
    <t xml:space="preserve">Venture Building</t>
  </si>
  <si>
    <t xml:space="preserve">InnovX</t>
  </si>
  <si>
    <t xml:space="preserve">UM6P subsidiary combining venture capital, tech innovation and business development to build and scale technology businesses across Agriculture &amp; Water, Energy, Chemicals and Digital in Morocco/Africa.</t>
  </si>
  <si>
    <t xml:space="preserve">InnovX (official)</t>
  </si>
  <si>
    <t xml:space="preserve">https://innovx.com/about-us/</t>
  </si>
  <si>
    <t xml:space="preserve">Confirmed as UM6P subsidiary; distinct from UM6P Ventures. [Reclassified 2026-08-01] Old Sector: 'Enterprise AI' -&gt; New: 'Agriculture'. Old Entity Type: 'Hub' -&gt; New Ecosystem Type: 'Incubator/Accelerator'. [Refined 2026-08-02] Sector set to 'Agriculture'. Maturity inferred as 'Established' (structural-type).</t>
  </si>
  <si>
    <t xml:space="preserve">Fintech One-Stop-Shop &amp; Incubation</t>
  </si>
  <si>
    <t xml:space="preserve">Morocco Fintech Center (MFC)</t>
  </si>
  <si>
    <t xml:space="preserve">Association founded at Bank Al-Maghrib HQ (Jan 2025) with ~15 banks/financial institutions and the Digital Transition Ministry; one-stop shop for fintechs; Fintech Booster 2026 selected 21 startups from 117 applications.</t>
  </si>
  <si>
    <t xml:space="preserve">Organization launch</t>
  </si>
  <si>
    <t xml:space="preserve">Bank Al-Maghrib (official)</t>
  </si>
  <si>
    <t xml:space="preserve">https://www.bkam.ma/en/Press-releases/Press-releases/2024/Establishment-of-the-morocco-fintech-center-association</t>
  </si>
  <si>
    <t xml:space="preserve">Cross-checked with Medias24 (launch and Booster cohort). [Reclassified 2026-08-01] Old Sector: 'Fintech'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</si>
  <si>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Digital Skills &amp; Acceleration</t>
  </si>
  <si>
    <t xml:space="preserve">Orange Digital Center Maroc</t>
  </si>
  <si>
    <t xml:space="preserve">Orange Maroc + GIZ ecosystem in Rabat (10th ODC in Africa/ME): free coding school, solidarity FabLab, Orange Fab accelerator and Orange Ventures link; AI/cybersecurity certifications with Coursera; ODC Clubs in universities.</t>
  </si>
  <si>
    <t xml:space="preserve">Center launch</t>
  </si>
  <si>
    <t xml:space="preserve">Orange Africa newsroom</t>
  </si>
  <si>
    <t xml:space="preserve">https://orange.africa-newsroom.com/press/orange-inaugurate-in-morocco-the-10th-orange-digital-center-in-africa-and-the-middle-east-to-train-young-people-in-digital-technology-support-innovative-entrepreneurship-and-enhance-their-employability?lang=en</t>
  </si>
  <si>
    <t xml:space="preserve">Cross-checked with Mobile World Live. [Reclassified 2026-08-01] Old Sector: 'General' -&gt; New: 'Education'. Old Entity Type: 'Hub' -&gt; New Ecosystem Type: 'Incubator/Accelerator'. [Refined 2026-08-02] Sector set to 'Education'. Maturity inferred as 'Established' (structural-type).</t>
  </si>
  <si>
    <t xml:space="preserve">Plug and Play Morocco</t>
  </si>
  <si>
    <t xml:space="preserve">Casablanca accelerator (est. 2024) offering equity-free grants up to $50,000 to founders in sectors including AI, healthtech and smart cities.</t>
  </si>
  <si>
    <t xml:space="preserve">Plug and Play Tech Center</t>
  </si>
  <si>
    <t xml:space="preserve">https://www.plugandplaytechcenter.com/locations/casablanca/morocco-accelerator</t>
  </si>
  <si>
    <t xml:space="preserve">Rally AI Future Lab (Jazari Institute)</t>
  </si>
  <si>
    <t xml:space="preserve">Intensive program and innovation lab deployed in Merzouga aimed at training local talent to develop "Made in Morocco" AI solutions.</t>
  </si>
  <si>
    <t xml:space="preserve">2026-06-16</t>
  </si>
  <si>
    <t xml:space="preserve">https://www.africaainews.com/p/morocco-launches-rally-ai-future</t>
  </si>
  <si>
    <t xml:space="preserve">Founding partners corroborated by IST-Africa.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 [Merge fix 2026-08] Sector re-corrected from 'Industry' back to 'Education' - this fix was applied in a prior round but this file was built from an earlier branch that predated it, causing a regression. Re-applied during merge.</t>
  </si>
  <si>
    <t xml:space="preserve">Startup Campus / Incubator</t>
  </si>
  <si>
    <t xml:space="preserve">StartGate</t>
  </si>
  <si>
    <t xml:space="preserve">Startup campus offering incubation and acceleration programs and infrastructure to help startups scale in Morocco and Africa.</t>
  </si>
  <si>
    <t xml:space="preserve">StartGate (official)</t>
  </si>
  <si>
    <t xml:space="preserve">https://www.startgate.ma/programs</t>
  </si>
  <si>
    <t xml:space="preserve">Official about page confirms incubator.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</si>
  <si>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Technopark Morocco</t>
  </si>
  <si>
    <t xml:space="preserve">National network of incubators hosting local AI innovators with centers in Casablanca, Rabat, Tangier and Agadir.</t>
  </si>
  <si>
    <t xml:space="preserve">Directory of incubators</t>
  </si>
  <si>
    <t xml:space="preserve">Company website (Technopark)</t>
  </si>
  <si>
    <t xml:space="preserve">https://www.technopark.ma/</t>
  </si>
  <si>
    <t xml:space="preserve">Confirmed on company site + Middle East AI News.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</si>
  <si>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Telecom Open Innovation &amp; AI Events</t>
  </si>
  <si>
    <t xml:space="preserve">inwi innov (inwiDAYS &amp; innov Connect)</t>
  </si>
  <si>
    <t xml:space="preserve">inwi's open-innovation program: accelerator, innov Connect workshops pairing AI startups (Juridia, Seiki, REBORN, Bluedove) with business units, inwiDAYS 2026 themed on AI, and a national Deepfake Challenge.</t>
  </si>
  <si>
    <t xml:space="preserve">inwi innov (official)</t>
  </si>
  <si>
    <t xml:space="preserve">https://innov.inwi.ma/</t>
  </si>
  <si>
    <t xml:space="preserve">Coding School / Talent Pipeline</t>
  </si>
  <si>
    <t xml:space="preserve">1337 Coding School</t>
  </si>
  <si>
    <t xml:space="preserve">UM6P/OCP peer-to-peer, tuition-free coding school (2018, inspired by 42) feeding Morocco's software/AI talent pipeline; campuses in Khouribga, Benguerir, Tetouan, Rabat.</t>
  </si>
  <si>
    <t xml:space="preserve">Wikipedia</t>
  </si>
  <si>
    <t xml:space="preserve">https://en.wikipedia.org/wiki/1337_Coding_School</t>
  </si>
  <si>
    <t xml:space="preserve">Cross-referenced with OCP Group official pages. [Reclassified 2026-08-01] Old Sector: 'General' -&gt; New: 'Education'. Old Entity Type: 'Hub' -&gt; New Ecosystem Type: 'Other initiatives'. [Refined 2026-08-02] Sector set to 'Education'. Maturity inferred as 'Early' (default for Startup/R&amp;D with no funding signal).</t>
  </si>
  <si>
    <t xml:space="preserve">Sovereign Cloud &amp; Data Centers</t>
  </si>
  <si>
    <t xml:space="preserve">Atlas Cloud Services (AtlasX.AI)</t>
  </si>
  <si>
    <t xml:space="preserve">OCP/UM6P joint venture operating the Tier III/IV Benguerir Data Center (2,000 sqm, 5 MW); launched AtlasX.AI (Data Fabric + GPU-as-a-Service) and a 2025 AI partnership with IBM and Power Maroc.</t>
  </si>
  <si>
    <t xml:space="preserve">Infrastructure &amp; product launch</t>
  </si>
  <si>
    <t xml:space="preserve">Atlas Cloud Services (official)</t>
  </si>
  <si>
    <t xml:space="preserve">https://atlascloudservices.com/en/atlasx-ai/</t>
  </si>
  <si>
    <t xml:space="preserve">Headcount and data/AI services confirmed on capgemini.com. [Reclassified 2026-08-01] Old Sector: 'Enterprise AI'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</si>
  <si>
    <t xml:space="preserve">IT Services &amp; AI Delivery</t>
  </si>
  <si>
    <t xml:space="preserve">Capgemini Morocco (AI MoU)</t>
  </si>
  <si>
    <t xml:space="preserve">5,200+ employees in Casablanca/Rabat delivering cloud, data &amp; AI and engineering services; signed an MoU with Morocco's Ministry of Digital Transition on AI development.</t>
  </si>
  <si>
    <t xml:space="preserve">Government partnership</t>
  </si>
  <si>
    <t xml:space="preserve">The North Africa Post</t>
  </si>
  <si>
    <t xml:space="preserve">https://northafricapost.com/98887-moroccos-digital-transition-ministry-and-capgemini-sign-ai-development-memorandum.html</t>
  </si>
  <si>
    <t xml:space="preserve">Cross-checked with Morocco World News and TechAfrica News. [Reclassified 2026-08-01] Old Sector: 'Enterprise AI'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</si>
  <si>
    <t xml:space="preserve">Renewable-Powered AI Data Center</t>
  </si>
  <si>
    <t xml:space="preserve">Dakhla 500 MW Green AI Data Center &amp; AI Institute</t>
  </si>
  <si>
    <t xml:space="preserve">Government-announced plan (November 2025) to build a 500 MW data center in Dakhla powered entirely by renewable energy to serve AI/HPC workloads for Morocco and Africa, paired with the launch of an AI institute in Dakhla focused on energy transition.</t>
  </si>
  <si>
    <t xml:space="preserve">2025-11-25</t>
  </si>
  <si>
    <t xml:space="preserve">Barlaman Today</t>
  </si>
  <si>
    <t xml:space="preserve">https://barlamantoday.com/2025/11/25/morocco-plans-500-megawatt-green-data-center-and-ai-institute-in-dakhla/</t>
  </si>
  <si>
    <t xml:space="preserve">Announcement corroborated across Barlaman Today, iAfrica, Ecofin Agency and Data Centres Africa; distinct from the Nexus Core Systems Tetouan AI factory already tracked. [Added 2026-08-05 expansion pass]</t>
  </si>
  <si>
    <t xml:space="preserve">Cybersecurity &amp; AI Training</t>
  </si>
  <si>
    <t xml:space="preserve">Deloitte Morocco Cyber Center &amp; CyberAcademy</t>
  </si>
  <si>
    <t xml:space="preserve">Deloitte's 2,000 sqm cyber center at Casablanca Finance City (2023) plus CyberAcademy (Sept 2025) with 60+ certification modules covering cybersecurity, data protection and AI applied to security.</t>
  </si>
  <si>
    <t xml:space="preserve">2025-09</t>
  </si>
  <si>
    <t xml:space="preserve">https://medias24.com/2025/09/22/deloitte-inaugure-a-casablanca-sa-cyberacademy-dediee-aux-metiers-de-la-cybersecurite/</t>
  </si>
  <si>
    <t xml:space="preserve">Cross-checked via Medias24 testimonial article. [Reclassified 2026-08-01] Old Sector: 'Enterprise AI' -&gt; New: 'Industry'. Old Entity Type: 'Hub' -&gt; New Ecosystem Type: 'Other initiatives'. [Refined 2026-08-02] Sector set to 'Industry'. Maturity inferred as 'Early' (default for Startup/R&amp;D with no funding signal).</t>
  </si>
  <si>
    <t xml:space="preserve">Digital Health &amp; AI Infrastructure</t>
  </si>
  <si>
    <t xml:space="preserve">FM6SS x ABA LIFE Digital Health &amp; AI Joint Venture</t>
  </si>
  <si>
    <t xml:space="preserve">Joint venture announced 15 June 2026 between the Fondation Mohammed VI des Sciences et de la Sante (FM6SS) and ABA LIFE (health division of ABA Technology) to build AI-based intelligent health infrastructure, train 100,000+ health professionals in AI tools, create an African epidemiological observatory by end-2026 and incubate HealthTech/MedTech startups, with rollout from October 2026.</t>
  </si>
  <si>
    <t xml:space="preserve">2026-06-15</t>
  </si>
  <si>
    <t xml:space="preserve">Agence Ecofin</t>
  </si>
  <si>
    <t xml:space="preserve">https://www.agenceecofin.com/actualites-numerique/1706-139369-le-maroc-cree-une-joint-venture-dediee-a-la-sante-numerique-et-a-l-ia</t>
  </si>
  <si>
    <t xml:space="preserve">Verified via Agence Ecofin tech-news coverage of the JV announcement; distinct from the existing ABA Technology company entry. [Added 2026-08-05 expansion pass]</t>
  </si>
  <si>
    <t xml:space="preserve">Generative AI for CX</t>
  </si>
  <si>
    <t xml:space="preserve">Intelcia - U&amp;AI Platform</t>
  </si>
  <si>
    <t xml:space="preserve">Casablanca-headquartered global outsourcer (35,000+ employees) launched U&amp;AI, a generative-AI platform (E-voluciona division) deploying chatbots, voicebots and hybrid human-AI outsourcing models.</t>
  </si>
  <si>
    <t xml:space="preserve">Product launch</t>
  </si>
  <si>
    <t xml:space="preserve">Aujourd'hui le Maroc</t>
  </si>
  <si>
    <t xml:space="preserve">https://aujourdhui.ma/emploi/intelligence-artificielle-generative-intelcia-lance-sa-plateforme-uai</t>
  </si>
  <si>
    <t xml:space="preserve">Cross-checked with We Are Tech Africa. [Reclassified 2026-08-01] Old Sector: 'Enterprise AI' -&gt; New: 'Education'. Old Entity Type: 'Hub' -&gt; New Ecosystem Type: 'Other initiatives'. [Refined 2026-08-02] Sector set to 'Industry'. Maturity inferred as 'Early' (default for Startup/R&amp;D with no funding signal).</t>
  </si>
  <si>
    <t xml:space="preserve">Carrier-Neutral Data Centers / AI Hosting</t>
  </si>
  <si>
    <t xml:space="preserve">N+ONE Datacenters</t>
  </si>
  <si>
    <t xml:space="preserve">Leading carrier-neutral Moroccan datacenter operator (est. 2008; six buildings, 4.5 MW IT in Nouaceur/Settat) offering HPC and AI/ML hosting; hosting partner for Oracle's first Morocco cloud region.</t>
  </si>
  <si>
    <t xml:space="preserve">2008</t>
  </si>
  <si>
    <t xml:space="preserve">N+ONE Datacenters (official)</t>
  </si>
  <si>
    <t xml:space="preserve">https://nplusone.africa/</t>
  </si>
  <si>
    <t xml:space="preserve">[Pending verification] AI is one of several themes. [Reclassified 2026-08-01] Old Sector: 'Policy'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</si>
  <si>
    <t xml:space="preserve">AI Data Center / Infrastructure</t>
  </si>
  <si>
    <t xml:space="preserve">Nexus Core Systems AI Factory</t>
  </si>
  <si>
    <t xml:space="preserve">US firm Nexus Core Systems signed a $1.28bn MoU with Moroccan authorities at GITEX Africa 2026 to build a renewable-powered 'AI Factory' (HPC data centre, phase-1 ~16-40MW in Nouaceur, scaling toward 500MW) with Nvidia (Blackwell GB200), Naver and Lloyd Capital.</t>
  </si>
  <si>
    <t xml:space="preserve">Investment / MoU announcement</t>
  </si>
  <si>
    <t xml:space="preserve">$1,280,000,000</t>
  </si>
  <si>
    <t xml:space="preserve">Ecofin Agency (corroborated by Developing Telecoms, MoroccoWorldNews)</t>
  </si>
  <si>
    <t xml:space="preserve">https://www.ecofinagency.com/news/1304-54600-morocco-signs-1-28-billion-mou-to-build-ai-factory</t>
  </si>
  <si>
    <t xml:space="preserve">[Reclassified 2026-08-01] Old Sector: 'General' -&gt; New: 'Energy'. Old Entity Type: 'Hub' -&gt; New Ecosystem Type: 'Other initiatives'. [Refined 2026-08-02] Sector set to 'Energy'. Maturity inferred as 'Established' (funding&gt;=5M ($1,280,000,000)).</t>
  </si>
  <si>
    <t xml:space="preserve">AI in Rail Transport</t>
  </si>
  <si>
    <t xml:space="preserve">ONCF - AI &amp; Digital Factory</t>
  </si>
  <si>
    <t xml:space="preserve">National railway operator's #ONCFDIGITAL roadmap and Digital Factory: convention with FRDISI for AI-based intermodal transport management and automated defect detection on high-speed trains; predictive maintenance targeting 60% incident reduction by 2030.</t>
  </si>
  <si>
    <t xml:space="preserve">Partnership &amp; program</t>
  </si>
  <si>
    <t xml:space="preserve">https://medias24.com/2025/05/15/loncf-londa-et-la-sntl-sassocient-a-la-frdisi-pour-promouvoir-linnovation-dans-le-transport/</t>
  </si>
  <si>
    <t xml:space="preserve">Targets cross-checked via Agence Ecofin (Dec 2025). [Reclassified 2026-08-01] Old Sector: 'Enterprise AI' -&gt; New: 'Maritime'. Old Entity Type: 'Hub' -&gt; New Ecosystem Type: 'Other initiatives'. [Refined 2026-08-02] Sector set to 'Industry'. Maturity inferred as 'Early' (default for Startup/R&amp;D with no funding signal).</t>
  </si>
  <si>
    <t xml:space="preserve">Hyperscale Cloud &amp; AI Infrastructure</t>
  </si>
  <si>
    <t xml:space="preserve">Oracle Cloud Casablanca Region</t>
  </si>
  <si>
    <t xml:space="preserve">First hyperscaler public-cloud region in Morocco (April 2026, hosted with N+ONE), giving local enterprises and public bodies in-country access to Oracle's generative-AI and multicloud capabilities.</t>
  </si>
  <si>
    <t xml:space="preserve">Infrastructure launch</t>
  </si>
  <si>
    <t xml:space="preserve">https://www.datacenterdynamics.com/en/news/oracle-launches-cloud-region-in-casablanca-morocco/</t>
  </si>
  <si>
    <t xml:space="preserve">Partnership cross-checked via Maroc Hebdo; distinct from UM6P supercomputer row. [Reclassified 2026-08-01] Old Sector: 'Enterprise AI'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</si>
  <si>
    <t xml:space="preserve">Digital Services &amp; AI Upskilling</t>
  </si>
  <si>
    <t xml:space="preserve">SQLI Maroc - Atlas Learning Hub</t>
  </si>
  <si>
    <t xml:space="preserve">SQLI's Moroccan expertise center (900+ staff in Rabat, Casablanca, Oujda) working on data, AI and digital commerce; inaugurated the Atlas Learning Hub dedicated to AI skills.</t>
  </si>
  <si>
    <t xml:space="preserve">Corporate initiative</t>
  </si>
  <si>
    <t xml:space="preserve">Eurotribune</t>
  </si>
  <si>
    <t xml:space="preserve">https://www.eurotribune.fr/articles/56991/france-sqli-maroc-celebre-les-20-ans-de-son-site-d-oujda-et-ouvre-un-nouveau-chapitre-avec-l-ia</t>
  </si>
  <si>
    <t xml:space="preserve">[Pending verification] Single detailed source for the hub. [Reclassified 2026-08-01] Old Sector: 'Enterprise AI' -&gt; New: 'Energy, Agriculture, Maritime, Health, Industry, Education'. Old Entity Type: 'Hub' -&gt; New Ecosystem Type: 'Other initiatives'. [Refined 2026-08-02] Sector forced to single label 'Education' (was multi-sector: Energy, Agriculture, Maritime, Health, Industry, Education). Maturity inferred as 'Early' (default for Startup/R&amp;D with no funding signal). [Web re-verification 2026-08-05] Status 'Not yet verified' -&gt; 'Verified'. SQLI's official newsroom confirms the 20th anniversary of its Oujda site and a new AI-focused chapter for SQLI Maroc; the cited Eurotribune piece details the Atlas Learning Hub dedicated to AI skills. Confirming source: https://www.sqli.com/fr-fr/actualites-evenements/sqli-maroc-20-ans-site-oujda</t>
  </si>
  <si>
    <t xml:space="preserve">AI for Port &amp; Logistics Operations</t>
  </si>
  <si>
    <t xml:space="preserve">Tanger Med x UM6P AI Program (1337 MED)</t>
  </si>
  <si>
    <t xml:space="preserve">Partnership signed on 30 July 2025 between Tanger Med Group and UM6P mobilizing students of the 1337 MED campus in Martil (~400 students, campus opened 2021) to build AI solutions for port, logistics and shipping operations (automation, data analysis, cybersecurity) under UM6P's AI laboratory.</t>
  </si>
  <si>
    <t xml:space="preserve">2025-07-30</t>
  </si>
  <si>
    <t xml:space="preserve">https://www.moroccoworldnews.com/2025/07/234677/um6p-tanger-med-launch-ai-program-to-transform-industrial-operations/</t>
  </si>
  <si>
    <t xml:space="preserve">Confirmed via Morocco World News article and Tanger Med's own site covering 1337 MED AI Week. [Added 2026-08-05 expansion pass]</t>
  </si>
  <si>
    <t xml:space="preserve">IT Services / Cognitive Tech</t>
  </si>
  <si>
    <t xml:space="preserve">Teal Technology Services</t>
  </si>
  <si>
    <t xml:space="preserve">OCP Group-IBM joint venture (IBM 51%/OCP 49%, MAD 15M capital, 2016) deploying analytics, cognitive/AI and IoT technologies for digital transformation of Moroccan and African companies.</t>
  </si>
  <si>
    <t xml:space="preserve">Joint venture launch</t>
  </si>
  <si>
    <t xml:space="preserve">2016-11</t>
  </si>
  <si>
    <t xml:space="preserve">OCP Group (official)</t>
  </si>
  <si>
    <t xml:space="preserve">https://www.ocpgroup.ma/en/ocp-group-and-ibm-form-joint-venture-accelerate-digital-transformation-moroccan-and-african</t>
  </si>
  <si>
    <t xml:space="preserve">Cross-checked with Ministry of Industry. [Reclassified 2026-08-01] Old Sector: 'Enterprise AI'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t>
  </si>
  <si>
    <t xml:space="preserve">Free Digital &amp; Code Training School</t>
  </si>
  <si>
    <t xml:space="preserve">YouCode (OCP x Simplon)</t>
  </si>
  <si>
    <t xml:space="preserve">Free, selective digital-skills school created by OCP Group with France's Simplon, opened in Youssoufia in 2018 and Safi in 2019, training young Moroccans in web development, data and AI-adjacent digital skills via project-based pedagogy without degree prerequisites.</t>
  </si>
  <si>
    <t xml:space="preserve">Training program profile</t>
  </si>
  <si>
    <t xml:space="preserve">2018-11</t>
  </si>
  <si>
    <t xml:space="preserve">Jeune Afrique</t>
  </si>
  <si>
    <t xml:space="preserve">https://www.jeuneafrique.com/emploi-formation/643014/maroc-ocp-et-simplon-ouvrent-une-ecole-de-code-a-youssoufia/</t>
  </si>
  <si>
    <t xml:space="preserve">Verified via Jeune Afrique and Medias24 coverage of the Youssoufia and Safi campus openings. [Added 2026-08-05 expansion pass]</t>
  </si>
  <si>
    <t xml:space="preserve">AL-KHAWARIZMI R&amp;D Program</t>
  </si>
  <si>
    <t xml:space="preserve">Government program allocating 50 million dirhams to encourage applied scientific research in AI and its applications.</t>
  </si>
  <si>
    <t xml:space="preserve">Agence de developpement digital (ADD)</t>
  </si>
  <si>
    <t xml:space="preserve">https://www.add.gov.ma/programme-al-khawarizmi</t>
  </si>
  <si>
    <t xml:space="preserve">National Digital &amp; AI Agency</t>
  </si>
  <si>
    <t xml:space="preserve">Agence de Developpement du Digital (ADD)</t>
  </si>
  <si>
    <t xml:space="preserve">Government agency executing Morocco's digital strategy and coordinating national AI deployment; runs the Al-Khawarizmi applied-AI program and a dedicated AI ecosystem workstream.</t>
  </si>
  <si>
    <t xml:space="preserve">Agence de Developpement du Digital</t>
  </si>
  <si>
    <t xml:space="preserve">https://www.add.gov.ma/ecosysteme-dedie-a-lintelligence-artificielle-prioritaire</t>
  </si>
  <si>
    <t xml:space="preserve">Regulatory Sandbox</t>
  </si>
  <si>
    <t xml:space="preserve">Bank Al-Maghrib Fintech Pathway &amp; Regulatory Sandbox</t>
  </si>
  <si>
    <t xml:space="preserve">Central bank fintech onboarding pathway and regulatory sandbox (active since 2019) where startups tested biometric identification and predictive analytics; official Guide du parcours Fintech published.</t>
  </si>
  <si>
    <t xml:space="preserve">Bank Al-Maghrib Fintech guide (PDF via CGEM)</t>
  </si>
  <si>
    <t xml:space="preserve">https://cgem.ma/wp-content/uploads/2024/05/Guide-du-parcours-des-Fintech-BAM.pdf</t>
  </si>
  <si>
    <t xml:space="preserve">Sandbox-since-2019 cross-checked via Telquel and WeeTracker. [Reclassified 2026-08-01] Old Sector: 'Fintech' -&gt; New: 'Health'. Old Entity Type: 'Policy' -&gt; New Ecosystem Type: 'Policy/Strategy'. [Refined 2026-08-02] Sector set to 'Industry'. Maturity inferred as 'Established' (structural-type).</t>
  </si>
  <si>
    <t xml:space="preserve">Data Protection &amp; AI Governance</t>
  </si>
  <si>
    <t xml:space="preserve">CNDP - AI &amp; Personal Data Framework</t>
  </si>
  <si>
    <t xml:space="preserve">Morocco's data-protection authority published an official position on AI and personal data (March 2025): AI systems using personal data must comply with Law 09-08 (transparency, purpose, proportionality, contestable automated decisions).</t>
  </si>
  <si>
    <t xml:space="preserve">CNDP (official)</t>
  </si>
  <si>
    <t xml:space="preserve">https://www.cndp.ma/wp-content/uploads/2025/03/CNDP-Communique-IA-et-protection-des-donnees-a-caractere-personnel-FR.pdf</t>
  </si>
  <si>
    <t xml:space="preserve">Official communique PDF; cross-checked with LesEco.ma. [Reclassified 2026-08-01] Old Sector: 'Policy' -&gt; New: 'Industry'. Old Entity Type: 'Policy' -&gt; New Ecosystem Type: 'Policy/Strategy'. [Refined 2026-08-02] Sector set to 'Industry'. Maturity inferred as 'Established' (structural-type).</t>
  </si>
  <si>
    <t xml:space="preserve">Public Research Funding</t>
  </si>
  <si>
    <t xml:space="preserve">CNRST</t>
  </si>
  <si>
    <t xml:space="preserve">National scientific research center that administered Morocco's national AI applied-research call: 251 submissions evaluated, 45 AI projects selected (health, agriculture, industry, Big Data) under the MAD 50M Al-Khawarizmi envelope.</t>
  </si>
  <si>
    <t xml:space="preserve">Program administration</t>
  </si>
  <si>
    <t xml:space="preserve">CNRST (official)</t>
  </si>
  <si>
    <t xml:space="preserve">https://www.cnrst.ma/fr/component/k2/item/446-programme-al-khawarizmi-resultats-de-l-appel-a-projets-dans-le-domaine-de-l-intelligence-artificielle-et-ses-applications</t>
  </si>
  <si>
    <t xml:space="preserve">Documents the administering body; distinct from the AL-KHAWARIZMI program row. [Reclassified 2026-08-01] Old Sector: 'Policy' -&gt; New: 'Agriculture'. Old Entity Type: 'Policy' -&gt; New Ecosystem Type: 'Policy/Strategy'. [Refined 2026-08-02] Sector set to 'Agriculture'. Maturity inferred as 'Established' (structural-type).</t>
  </si>
  <si>
    <t xml:space="preserve">Cybersecurity &amp; AI Risk Oversight</t>
  </si>
  <si>
    <t xml:space="preserve">DGSSI - National Cybersecurity Strategy 2030</t>
  </si>
  <si>
    <t xml:space="preserve">National cybersecurity authority behind the SNC 2030 and DNSSI directive; advises government on risks of emerging technologies including AI and 5G; operates maCERT.</t>
  </si>
  <si>
    <t xml:space="preserve">Strategy publication</t>
  </si>
  <si>
    <t xml:space="preserve">DGSSI (official)</t>
  </si>
  <si>
    <t xml:space="preserve">https://www.dgssi.gov.ma/fr/publications/strategie-nationale-en-matiere-de-cybersecurite</t>
  </si>
  <si>
    <t xml:space="preserve">Cross-checked with Radio Algerienne and Agence Ecofin. [Reclassified 2026-08-01] Old Sector: 'Policy' -&gt; New: 'Education'. Old Entity Type: 'Policy' -&gt; New Ecosystem Type: 'Policy/Strategy'. [Refined 2026-08-02] Sector set to 'Industry'. Maturity inferred as 'Established' (structural-type).</t>
  </si>
  <si>
    <t xml:space="preserve">Digital Morocco 2030 (National AI Synthesis)</t>
  </si>
  <si>
    <t xml:space="preserve">Synthesis report from Morocco's First National AI Conference (Rabat, July 1-2, 2025), establishing eight foundational strategic pillars (trust &amp; governance, sovereign infrastructure, human capital, innovation &amp; local AI production, financing &amp; adoption, international cooperation, inclusion, concrete action) and recommendations toward a future comprehensive National AI Strategy. The report's own recommendations section calls for Morocco to "design a comprehensive roadmap for AI" as a next step - as of this report, a finalized, formally adopted national AI strategy does not yet exist; this conference establishes its foundational direction.</t>
  </si>
  <si>
    <t xml:space="preserve">2025-09-01</t>
  </si>
  <si>
    <t xml:space="preserve">$1,200,000,000 (UNCONFIRMED - see note)</t>
  </si>
  <si>
    <t xml:space="preserve">Ministry of Digital Transition (MMSP)</t>
  </si>
  <si>
    <t xml:space="preserve">https://www.mmsp.gov.ma/sites/default/files/2025-09/Rapport%20de%20Synthe%CC%80se%20ANG.pdf</t>
  </si>
  <si>
    <t xml:space="preserve">Maroc IA 2030 (AI Made in Morocco)</t>
  </si>
  <si>
    <t xml:space="preserve">National AI strategy led by the Ministry of Digital Transition, targeting a MAD 100bn GDP contribution, 50,000 AI jobs and 200,000 people trained by 2030, with a Jazari Institutes network, National Data Factory and sovereign cloud.</t>
  </si>
  <si>
    <t xml:space="preserve">https://www.middleeastainews.com/p/new-ai-made-in-morocco-strategy</t>
  </si>
  <si>
    <t xml:space="preserve">Corroborated by Tuniscope and African Manager. [Reclassified 2026-08-01] Old Sector: 'Policy' -&gt; New: 'Education'. Old Entity Type: 'Policy' -&gt; New Ecosystem Type: 'Policy/Strategy'. [Refined 2026-08-02] Sector set to 'Industry'. Maturity inferred as 'Established' (structural-type).</t>
  </si>
  <si>
    <t xml:space="preserve">National Digital-Sector Branding</t>
  </si>
  <si>
    <t xml:space="preserve">MoroccoTech</t>
  </si>
  <si>
    <t xml:space="preserve">National brand launched Jan 2022 by the Ministry of Digital Transition with APEBI, AMDIE, ADD, CGEM and AUSIM to position Morocco as a Digital Nation and international tech destination.</t>
  </si>
  <si>
    <t xml:space="preserve">Initiative launch</t>
  </si>
  <si>
    <t xml:space="preserve">2022-01</t>
  </si>
  <si>
    <t xml:space="preserve">Maroc.ma (official portal)</t>
  </si>
  <si>
    <t xml:space="preserve">https://www.maroc.ma/fr/actualites/rabat-lancement-de-la-marque-moroccotech-de-promotion-du-secteur-digital</t>
  </si>
  <si>
    <t xml:space="preserve">AI Policy Research</t>
  </si>
  <si>
    <t xml:space="preserve">Policy Center for the New South</t>
  </si>
  <si>
    <t xml:space="preserve">Rabat-based think tank publishing policy research on Morocco's AI trajectory, including analysis of AI regulatory framing and economic strategy.</t>
  </si>
  <si>
    <t xml:space="preserve">Research publication</t>
  </si>
  <si>
    <t xml:space="preserve">Policy Center for the New South (official)</t>
  </si>
  <si>
    <t xml:space="preserve">https://www.policycenter.ma/publications/lintelligence-artificielle-au-maroc-entre-encadrement-reglementaire-et-strategie</t>
  </si>
  <si>
    <t xml:space="preserve">[Pending verification] Single news source; signing date unconfirmed.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</si>
  <si>
    <t xml:space="preserve">University AI Research Lab</t>
  </si>
  <si>
    <t xml:space="preserve">ADMIR Laboratory (Rabat IT Center)</t>
  </si>
  <si>
    <t xml:space="preserve">Research lab at ENSIAS, Mohammed V University Rabat, focused on data mining, AI and information retrieval.</t>
  </si>
  <si>
    <t xml:space="preserve">Rabat IT Center</t>
  </si>
  <si>
    <t xml:space="preserve">https://asai2018rabat-it-center.github.io/</t>
  </si>
  <si>
    <t xml:space="preserve">Official portal ai.algerianoi.com.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ENSIAS lab); the blanket Early default under-stated organizational maturity [Web re-verification 2026-08-05] Status 'Not yet verified' -&gt; 'Verified'. Numerous peer-reviewed publications carry the affiliation 'ADMIR Laboratory, Rabat IT Center, ENSIAS, Mohammed V University Rabat, Morocco', confirming the lab and its data mining/AI/information-retrieval focus. Confirming source: https://www.scirp.org/journal/articles?searchcode=IMS+Team,+ADMIR+Laboratory,+Rabat+IT+Center,+ENSIAS,+Mohammed+V+University+Rabat,+Morocco&amp;searchfield=affs</t>
  </si>
  <si>
    <t xml:space="preserve">AI Movement (UM6P)</t>
  </si>
  <si>
    <t xml:space="preserve">Academic and research center aiming to strategically position Morocco as a regional hub for impactful AI.</t>
  </si>
  <si>
    <t xml:space="preserve">Ecosystem Profile</t>
  </si>
  <si>
    <t xml:space="preserve">[Reclassified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[Audit 2026-08-05] Maturity corrected: 'Early' -&gt; 'Established'. [Audit 2026-08-05] Reason: institutional R&amp;D entity (center operating since 2021); the blanket Early default under-stated organizational maturity</t>
  </si>
  <si>
    <t xml:space="preserve">Responsible-AI / DPI Lab</t>
  </si>
  <si>
    <t xml:space="preserve">Al Akhawayn University Digital Innovation Lab</t>
  </si>
  <si>
    <t xml:space="preserve">Lab at Al Akhawayn University, Ifrane (with CMU-Africa Upanzi Network) focused on digital public infrastructure, cybersecurity and responsible AI.</t>
  </si>
  <si>
    <t xml:space="preserve">CMU Africa (Upanzi Network)</t>
  </si>
  <si>
    <t xml:space="preserve">https://www.cmu.edu/africa/</t>
  </si>
  <si>
    <t xml:space="preserve">[Pending verification] Lab existence via CMU-Africa. [Reclassified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[Web re-verification 2026-08-05] Status 'Not yet verified' -&gt; 'Verified'. Al Akhawayn University's official news page and CMU-Africa's Upanzi Network channels confirm the Digital Innovation Lab in Ifrane focused on digital public infrastructure, cybersecurity and responsible tech (inaugurated early 2026). Confirming source: https://aui.ma/news/aui-opens-digital-innovation-lab-as-new-hub-for-africa-focused-tech-work</t>
  </si>
  <si>
    <t xml:space="preserve">Precision Medicine &amp; Health Data AI</t>
  </si>
  <si>
    <t xml:space="preserve">Centre Mohammed VI de la Recherche et de l'Innovation (CM6RI)</t>
  </si>
  <si>
    <t xml:space="preserve">Rabat-based national research and innovation center of the FM6SS leading projects in precision medicine and health-data analysis, hosting a precision-medicine hub combining genomics, bioinformatics and AI, positioned to answer 'large national problems' in health.</t>
  </si>
  <si>
    <t xml:space="preserve">2024-11-01</t>
  </si>
  <si>
    <t xml:space="preserve">CM6RI / Medias24</t>
  </si>
  <si>
    <t xml:space="preserve">https://cm6ri.ma/sante-publique-et-recherche-clinique/</t>
  </si>
  <si>
    <t xml:space="preserve">Verified via the center's own website and a Medias24 interview with CM6RI leadership at the eHealth Forum (Nov 2024). [Added 2026-08-05 expansion pass]</t>
  </si>
  <si>
    <t xml:space="preserve">AI Engineering Education</t>
  </si>
  <si>
    <t xml:space="preserve">ENSIAS - Ingenierie Intelligence Artificielle (2IA)</t>
  </si>
  <si>
    <t xml:space="preserve">Dedicated AI engineering track at ENSIAS (Mohammed V University Rabat), Morocco's leading public computer-science engineering school; selective AI/data-science curriculum.</t>
  </si>
  <si>
    <t xml:space="preserve">ENSIAS (official)</t>
  </si>
  <si>
    <t xml:space="preserve">https://ensias.um5.ac.ma/page/ing%C3%A9nierie-int%C3%A9lligence-artificielle-2ia</t>
  </si>
  <si>
    <t xml:space="preserve">Official ENSIAS announcement of 2nd AI summer school.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engineering track); the blanket Early default under-stated organizational maturity</t>
  </si>
  <si>
    <t xml:space="preserve">Health AI Engineering Education</t>
  </si>
  <si>
    <t xml:space="preserve">Ecole Mohammed VI d'Ingenieurs en Sciences de la Sante (ESM6ISS)</t>
  </si>
  <si>
    <t xml:space="preserve">Engineering school of the Fondation Mohammed VI des Sciences et de la Sante (Casablanca/UM6SS ecosystem) training health engineers in artificial intelligence, data science and digital health systems, one of the three pillars of the FM6SS AI-in-health strategy.</t>
  </si>
  <si>
    <t xml:space="preserve">Named and described in FM6SS's AI strategy coverage by Moroccan health press; school operates within the UM6SS/FM6SS ecosystem. [Added 2026-08-05 expansion pass] [Merge re-audit 2026-08] Sector corrected: 'Education' -&gt; 'Health'. Was Education - per the supervisor's exact sector hierarchy (Agriculture &gt; Health &gt; Energy &gt; Maritime &gt; Education &gt; Industry), Health outranks Education. This is fundamentally a health-focused engineering school (trains 'health engineers' as one of three pillars of an AI-in-health strategy) - Health takes priority per the hierarchy.</t>
  </si>
  <si>
    <t xml:space="preserve">Engineering Research Foundation</t>
  </si>
  <si>
    <t xml:space="preserve">FRDISI</t>
  </si>
  <si>
    <t xml:space="preserve">Moroccan research foundation partnering with ONCF, ONDA and SNTL to develop AI-based intermodal transport management and automated surface-defect detection for high-speed trains.</t>
  </si>
  <si>
    <t xml:space="preserve">Partnership</t>
  </si>
  <si>
    <t xml:space="preserve">Cross-checked with Nature Index and WIPO TISC listings. [Reclassified 2026-08-01] Old Sector: 'General' -&gt; New: 'Education'. Old Entity Type: 'Hub' -&gt; New Ecosystem Type: 'R&amp;D'. [Refined 2026-08-02] Sector set to 'Industry'. Maturity inferred as 'Early' (default for Startup/R&amp;D with no funding signal). [Web re-verification 2026-08-05] Status 'Not yet verified' -&gt; 'Verified'. Medias24 (the cited source), La Vie Eco and Morocco World News confirm the May 2025 agreements between ONCF, ONDA, SNTL and the FRDISI foundation for AI-driven transport/logistics innovation, including intermodal management and train defect detection. Confirming source: https://medias24.com/2025/05/15/loncf-londa-et-la-sntl-sassocient-a-la-frdisi-pour-promouvoir-linnovation-dans-le-transport/</t>
  </si>
  <si>
    <t xml:space="preserve">Franco-Moroccan AI Research</t>
  </si>
  <si>
    <t xml:space="preserve">Franco-Moroccan Research Center in AI (ENSIAS)</t>
  </si>
  <si>
    <t xml:space="preserve">Joint Franco-Moroccan AI research initiative hosted at ENSIAS, Mohammed V University Rabat, running international AI summer schools.</t>
  </si>
  <si>
    <t xml:space="preserve">Program / event</t>
  </si>
  <si>
    <t xml:space="preserve">ENSIAS (Mohammed V University)</t>
  </si>
  <si>
    <t xml:space="preserve">https://ensias.um5.ac.ma/news/2nd-international-summer-school-artificial-intelligence-franco-moroccan-research-center-2026</t>
  </si>
  <si>
    <t xml:space="preserve">Official program page; distinct from Franco-Moroccan AI Center row. [Reclassified 2026-08-01] Old Sector: 'General' -&gt; New: 'Education'. Old Entity Type: 'Hub' -&gt; New Ecosystem Type: 'R&amp;D'. [Refined 2026-08-02] Sector set to 'Education'. Maturity inferred as 'Early' (default for Startup/R&amp;D with no funding signal).</t>
  </si>
  <si>
    <t xml:space="preserve">Solar &amp; Smart Grid R&amp;D Platform</t>
  </si>
  <si>
    <t xml:space="preserve">Green Energy Park (IRESEN / UM6P, Benguerir)</t>
  </si>
  <si>
    <t xml:space="preserve">Solar and new-energies research, testing and training platform in Benguerir operated by IRESEN with UM6P/OCP, hosting smart-grid and Green &amp; Smart Building Park facilities that apply data analytics and AI to solar performance, smart grids and green mobility research.</t>
  </si>
  <si>
    <t xml:space="preserve">IRESEN</t>
  </si>
  <si>
    <t xml:space="preserve">https://iresen.org/infrastructure/</t>
  </si>
  <si>
    <t xml:space="preserve">Verified on IRESEN's official infrastructure page and multiple press articles on its smart-grid research center. [Added 2026-08-05 expansion pass]</t>
  </si>
  <si>
    <t xml:space="preserve">AI/Data Graduate Education</t>
  </si>
  <si>
    <t xml:space="preserve">INPT - Master Data &amp; IA (with Al Mada Foundation)</t>
  </si>
  <si>
    <t xml:space="preserve">INPT Rabat and Fondation Al Mada launched a Master's in Data &amp; AI unique in Morocco (paid work-study, Data Science &amp; AI specialization); INPT also trains state engineers in Smart ICT and AI.</t>
  </si>
  <si>
    <t xml:space="preserve">Program launch</t>
  </si>
  <si>
    <t xml:space="preserve">https://www.maroc.ma/fr/actualites/la-fondation-al-mada-et-linpt-lancent-rabat-un-master-data-ia-unique-au-maroc</t>
  </si>
  <si>
    <t xml:space="preserve">Cross-checked with INPT program pages. [Reclassified 2026-08-01] Old Sector: 'General' -&gt; New: 'Education'. Old Entity Type: 'Hub' -&gt; New Ecosystem Type: 'R&amp;D'. [Refined 2026-08-02] Sector set to 'Education'. Maturity inferred as 'Early' (default for Startup/R&amp;D with no funding signal).</t>
  </si>
  <si>
    <t xml:space="preserve">AI &amp; Big Data for Sustainable Fisheries</t>
  </si>
  <si>
    <t xml:space="preserve">INRH Data &amp; AI Strategy for Fisheries (Institut National de Recherche Halieutique)</t>
  </si>
  <si>
    <t xml:space="preserve">Morocco's national fisheries research institute is deploying a data/AI strategy combining sensors, satellites, beacons and fisher-contributed data (Sentinel Fishing project) to power its fisheries observatory, support sustainable stock exploitation and plan an offshore real-time ocean-monitoring platform, in line with the Blue Belt Initiative (COP22, 2016).</t>
  </si>
  <si>
    <t xml:space="preserve">Le Matin</t>
  </si>
  <si>
    <t xml:space="preserve">https://lematin.ma/economie/linrh-mise-sur-lia-et-le-big-data-pour-une-peche-durable/228516</t>
  </si>
  <si>
    <t xml:space="preserve">Verified via Le Matin reporting on INRH's AI/Big Data strategy; INRH is a state research institute (inrh.ma). [Added 2026-08-05 expansion pass]</t>
  </si>
  <si>
    <t xml:space="preserve">Applied R&amp;D (AI &amp; Embedded)</t>
  </si>
  <si>
    <t xml:space="preserve">MAScIR Foundation</t>
  </si>
  <si>
    <t xml:space="preserve">Moroccan Foundation for Advanced Science, Innovation and Research (est. 2007, Rabat; now in UM6P ecosystem); 100+ scientists; platforms in microelectronics, embedded systems and AI-assisted sensing.</t>
  </si>
  <si>
    <t xml:space="preserve">2007</t>
  </si>
  <si>
    <t xml:space="preserve">UM6P - MAScIR page</t>
  </si>
  <si>
    <t xml:space="preserve">https://www.um6p.ma/en/mascir-moroccan-foundation-advanced-science-innovation-and-research</t>
  </si>
  <si>
    <t xml:space="preserve">[Pending verification] Limited independent coverage of the foundation itself. [Reclassified 2026-08-01] Old Sector: 'General' -&gt; New: 'Maritime'. Old Entity Type: 'Hub' -&gt; New Ecosystem Type: 'R&amp;D'. [Refined 2026-08-02] Sector set to 'Industry'. Maturity inferred as 'Early' (default for Startup/R&amp;D with no funding signal). [Audit 2026-08-05] Maturity corrected: 'Early' -&gt; 'Established'. [Audit 2026-08-05] Reason: institutional R&amp;D entity (foundation est. 2007, 100+ scientists); the blanket Early default under-stated organizational maturity</t>
  </si>
  <si>
    <t xml:space="preserve">Corporate AI R&amp;D</t>
  </si>
  <si>
    <t xml:space="preserve">Oracle Morocco R&amp;D Hubs (Casablanca &amp; Agadir)</t>
  </si>
  <si>
    <t xml:space="preserve">Oracle R&amp;D center at CasaNearshore (2025; OCI and AI/ML projects; ~1,000 jobs targeted by 2027) plus a second R&amp;D hub announced in Agadir (June 2026) to power the future of AI.</t>
  </si>
  <si>
    <t xml:space="preserve">Corporate expansion</t>
  </si>
  <si>
    <t xml:space="preserve">Oracle (official)</t>
  </si>
  <si>
    <t xml:space="preserve">https://www.oracle.com/sa/news/announcement/oracle-establishes-second-morocco-rd-hub-to-power-the-future-of-ai-2026-06-30/</t>
  </si>
  <si>
    <t xml:space="preserve">Official Oracle release; corroborated by Intelligent CIO Africa. [Reclassified 2026-08-01] Old Sector: 'Enterprise AI' -&gt; New: 'Energy, Agriculture, Maritime, Health, Industry, Education'. Old Entity Type: 'Hub' -&gt; New Ecosystem Type: 'R&amp;D'. [Refined 2026-08-02] Sector forced to single label 'Industry' (was multi-sector: Energy, Agriculture, Maritime, Health, Industry, Education). Maturity inferred as 'Early' (default for Startup/R&amp;D with no funding signal).</t>
  </si>
  <si>
    <t xml:space="preserve">NLP Research Lab (Darija Language Models)</t>
  </si>
  <si>
    <t xml:space="preserve">SI2M Lab (INSEA Rabat)</t>
  </si>
  <si>
    <t xml:space="preserve">Research laboratory (Systemes d'Information, Systemes Intelligents et Modelisation Mathematique) at INSEA Rabat that co-created and hosts DarijaBERT and DarijaBERT-arabizi, foundational open-source language models for the Moroccan Arabic dialect used across Moroccan NLP research.</t>
  </si>
  <si>
    <t xml:space="preserve">Hugging Face (SI2M-Lab)</t>
  </si>
  <si>
    <t xml:space="preserve">https://huggingface.co/SI2M-Lab/DarijaBERT</t>
  </si>
  <si>
    <t xml:space="preserve">Verified via the lab's official Hugging Face organization and the peer-reviewed DarijaBERT paper. [Added 2026-08-05 expansion pass]</t>
  </si>
  <si>
    <t xml:space="preserve">School of AI in Fes (EIDIA)</t>
  </si>
  <si>
    <t xml:space="preserve">Academic institution established to advance AI education, training, and human capital development.</t>
  </si>
  <si>
    <t xml:space="preserve">https://www.jeuneafrique.com/emploi-formation/810532/maroc-une-nouvelle-ecole-dintelligence-artificielle-a-fes/</t>
  </si>
  <si>
    <t xml:space="preserve">[Reclassified 2026-08-01] Old Sector: 'General' -&gt; New: 'Education'. Old Entity Type: 'Hub' -&gt; New Ecosystem Type: 'R&amp;D'. [Refined 2026-08-02] Sector set to 'Education'. Maturity inferred as 'Early' (default for Startup/R&amp;D with no funding signal).</t>
  </si>
  <si>
    <t xml:space="preserve">AI &amp; Data Science Research Lab</t>
  </si>
  <si>
    <t xml:space="preserve">TICLab - Universite Internationale de Rabat (UIR)</t>
  </si>
  <si>
    <t xml:space="preserve">UIR's ICT research lab with recognized AI/data-science expertise (health, transport, energy, cybersecurity, smart cities); coordinates the DataNet associated lab with France's CNRS; directed by Prof. Mounir Ghogho.</t>
  </si>
  <si>
    <t xml:space="preserve">UIR - TICLab (official)</t>
  </si>
  <si>
    <t xml:space="preserve">https://www.uir.ac.ma/fr/pole/tic-lab-technologies-de-linformation-et-de-la-communication/Mot-du-directeur</t>
  </si>
  <si>
    <t xml:space="preserve">Cross-checked via ActuIA profile of UIR. [Reclassified 2026-08-01] Old Sector: 'General' -&gt; New: 'Health'. Old Entity Type: 'Hub' -&gt; New Ecosystem Type: 'R&amp;D'. [Refined 2026-08-02] Sector set to 'Health'. Maturity inferred as 'Early' (default for Startup/R&amp;D with no funding signal).</t>
  </si>
  <si>
    <t xml:space="preserve">University AI Center of Excellence</t>
  </si>
  <si>
    <t xml:space="preserve">UM6P College of Computing</t>
  </si>
  <si>
    <t xml:space="preserve">UM6P's computer-science college building a centre of excellence in AI and ML in Benguerir; partners with NVIDIA, MIT, Cambridge, EPFL, Berkeley.</t>
  </si>
  <si>
    <t xml:space="preserve">https://cc.um6p.ma/</t>
  </si>
  <si>
    <t xml:space="preserve">[Reclassified 2026-08-01] Old Sector: 'General'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t>
  </si>
  <si>
    <t xml:space="preserve">AI Infrastructure</t>
  </si>
  <si>
    <t xml:space="preserve">UM6P Data Center and Supercomputer</t>
  </si>
  <si>
    <t xml:space="preserve">Tier III and Tier IV certified data center housing the most powerful supercomputer in Africa.</t>
  </si>
  <si>
    <t xml:space="preserve">[Reclassified 2026-08-01] Old Sector: 'Enterprise AI' -&gt; New: 'Energy, Agriculture, Maritime, Health, Industry, Education'. Old Entity Type: 'Hub' -&gt; New Ecosystem Type: 'R&amp;D'. [Refined 2026-08-02] Sector forced to single label 'Industry' (was multi-sector: Energy, Agriculture, Maritime, Health, Industry, Education). Maturity inferred as 'Early' (default for Startup/R&amp;D with no funding signal).</t>
  </si>
  <si>
    <t xml:space="preserve">IoT Infrastructure</t>
  </si>
  <si>
    <t xml:space="preserve">ABA Technology</t>
  </si>
  <si>
    <t xml:space="preserve">Artificial intelligence infrastructures applied to the Internet of Things (IoT) for connecting and analyzing data in smart cities.</t>
  </si>
  <si>
    <t xml:space="preserve">2026-04-01</t>
  </si>
  <si>
    <t xml:space="preserve">Company website (ABA Technology)</t>
  </si>
  <si>
    <t xml:space="preserve">https://aba.technology/</t>
  </si>
  <si>
    <t xml:space="preserve">IoT &amp; Predictive Analytics for Farming</t>
  </si>
  <si>
    <t xml:space="preserve">AGRI 4.0</t>
  </si>
  <si>
    <t xml:space="preserve">Agadir-based agritech founded in 2018 deploying IoT sensors, weather stations and predictive analytics for irrigation optimization, greenhouse climate monitoring, cold-chain traceability (Frigoma) and Aquaculture 4.0 water-quality/automated-feeding systems; clients report ~30% productivity gains and ~25% water savings.</t>
  </si>
  <si>
    <t xml:space="preserve">https://agri40.tech/</t>
  </si>
  <si>
    <t xml:space="preserve">Verified on the company's own website and cross-checked with the Startup Researcher 2025 Moroccan agritech roundup. [Added 2026-08-05 expansion pass]</t>
  </si>
  <si>
    <t xml:space="preserve">AI Training &amp; Consulting</t>
  </si>
  <si>
    <t xml:space="preserve">AI Crafters</t>
  </si>
  <si>
    <t xml:space="preserve">Moroccan AI training/consulting firm (3,000+ people trained in year one; GCC/Africa/Europe operations); acquired majority stake in Digitancy (2026) to build an integrated AI value-chain group.</t>
  </si>
  <si>
    <t xml:space="preserve">Acquisition &amp; profile</t>
  </si>
  <si>
    <t xml:space="preserve">Le Desk</t>
  </si>
  <si>
    <t xml:space="preserve">https://ledesk.ma/2026/04/07/ai-crafters-acquiert-digitancy-et-pose-les-fondations-dun-champion-integre-de-lintelligence-artificielle/</t>
  </si>
  <si>
    <t xml:space="preserve">Arabic/Darija NLP &amp; AI Venture Studio</t>
  </si>
  <si>
    <t xml:space="preserve">AIOX Labs</t>
  </si>
  <si>
    <t xml:space="preserve">Moroccan AI studio and venture builder that co-developed DarijaBERT (with SI2M Lab), the first open-source BERT language model for Moroccan Darija (released 2023 on Hugging Face), and builds applied NLP and AI products for African languages and markets.</t>
  </si>
  <si>
    <t xml:space="preserve">https://www.aiox-labs.com/</t>
  </si>
  <si>
    <t xml:space="preserve">Verified via company website, its GitHub (AIOXLABS/DBert) and the SI2M-Lab/DarijaBERT Hugging Face model card crediting AIOX Labs. [Added 2026-08-05 expansion pass]</t>
  </si>
  <si>
    <t xml:space="preserve">Autonomous Drones / Computer Vision</t>
  </si>
  <si>
    <t xml:space="preserve">ATLAN Space</t>
  </si>
  <si>
    <t xml:space="preserve">Rabat startup (founded 2016) using AI for fully autonomous UAV/drone missions in environmental and marine monitoring; raised $1.1M Series A (Nov 2020) led by Maroc Numeric Fund II.</t>
  </si>
  <si>
    <t xml:space="preserve">2020-11</t>
  </si>
  <si>
    <t xml:space="preserve">$1,100,000</t>
  </si>
  <si>
    <t xml:space="preserve">[Reclassified 2026-08-01] Old Sector: 'Enterprise AI' -&gt; New: 'Maritime'. Old Entity Type: 'Startup' -&gt; New Ecosystem Type: 'Startup'. [Refined 2026-08-02] Sector set to 'Industry'. Maturity inferred as 'Growth' (funding 1-5M ($1,100,000)).</t>
  </si>
  <si>
    <t xml:space="preserve">Proptech / Real-Estate Intelligence</t>
  </si>
  <si>
    <t xml:space="preserve">Agenz</t>
  </si>
  <si>
    <t xml:space="preserve">Casablanca proptech (2021) using data and AI for property valuation, market intelligence and transaction tools.</t>
  </si>
  <si>
    <t xml:space="preserve">Funding round</t>
  </si>
  <si>
    <t xml:space="preserve">https://www.moroccoworldnews.com/2026/06/320044/moroccan-startup-agenz-raises-5m-to-expand-ai-powered-real-estate-platform/</t>
  </si>
  <si>
    <t xml:space="preserve">Oversubscribed seed led by Breega, Attijariwafa Ventures, Saviu. [Reclassified 2026-08-01] Old Sector: 'Enterprise AI' -&gt; New: 'Industry'. Old Entity Type: 'Startup' -&gt; New Ecosystem Type: 'Startup'. [Refined 2026-08-02] Sector set to 'Industry'. Maturity inferred as 'Established' (funding&gt;=5M ($5,000,000)).</t>
  </si>
  <si>
    <t xml:space="preserve">Precision Agriculture</t>
  </si>
  <si>
    <t xml:space="preserve">AgriEdge</t>
  </si>
  <si>
    <t xml:space="preserve">UM6P business unit for precision agriculture combining agronomic models with AI, IoT and satellite data; serves 30,000+ farmers across 5 African countries.</t>
  </si>
  <si>
    <t xml:space="preserve">https://www.moroccoworldnews.com/2022/02/49597/agriedge-ocp-groups-business-unit-to-introduce-ai-solutions-in-african-agriculture/</t>
  </si>
  <si>
    <t xml:space="preserve">OCP/UM6P-linked; site agriedge.ma. [Reclassified 2026-08-01] Old Sector: 'Agritech' -&gt; New: 'Agriculture'. Old Entity Type: 'Startup' -&gt; New Ecosystem Type: 'Startup'. [Refined 2026-08-02] Sector set to 'Agriculture'. Maturity inferred as 'Early' (default for Startup/R&amp;D with no funding signal).</t>
  </si>
  <si>
    <t xml:space="preserve">Legal/Tax Research AI</t>
  </si>
  <si>
    <t xml:space="preserve">Artemis - IArtemis</t>
  </si>
  <si>
    <t xml:space="preserve">Moroccan legal-information leader (est. 1992) launched IArtemis, an AI engine over 11M+ legislative, jurisprudence and doctrine documents (Official Bulletin since 1912) delivering sourced legal/tax answers.</t>
  </si>
  <si>
    <t xml:space="preserve">Infomediaire</t>
  </si>
  <si>
    <t xml:space="preserve">https://www.infomediaire.net/artemis-intelligence-artificielle-recherche-juridique-maroc/</t>
  </si>
  <si>
    <t xml:space="preserve">AI product launch verified via two Infomediaire articles. [Reclassified 2026-08-01] Old Sector: 'Enterprise AI' -&gt; New: 'Industry'. Old Entity Type: 'Startup' -&gt; New Ecosystem Type: 'Startup'. [Refined 2026-08-02] Sector set to 'Industry'. Maturity inferred as 'Early' (default for Startup/R&amp;D with no funding signal).</t>
  </si>
  <si>
    <t xml:space="preserve">Logistics / Freight Marketplace</t>
  </si>
  <si>
    <t xml:space="preserve">CloudFret</t>
  </si>
  <si>
    <t xml:space="preserve">Logistics startup (2021) with an AI-driven SaaS marketplace matching shippers and carriers to reduce empty truck returns.</t>
  </si>
  <si>
    <t xml:space="preserve">2023-11</t>
  </si>
  <si>
    <t xml:space="preserve">$2,100,000</t>
  </si>
  <si>
    <t xml:space="preserve">https://www.wamda.com/2023/11/morocco-cloudfret-closes-21-million-round</t>
  </si>
  <si>
    <t xml:space="preserve">Round from AfriMobility and Azur Innovation Fund. [Reclassified 2026-08-01] Old Sector: 'Enterprise AI' -&gt; New: 'Industry'. Old Entity Type: 'Startup' -&gt; New Ecosystem Type: 'Startup'. [Refined 2026-08-02] Sector set to 'Industry'. Maturity inferred as 'Growth' (funding 1-5M ($2,100,000)).</t>
  </si>
  <si>
    <t xml:space="preserve">AI Diagnostics / Digital Pathology</t>
  </si>
  <si>
    <t xml:space="preserve">DataPathology</t>
  </si>
  <si>
    <t xml:space="preserve">Founded 2020; uses AI and digital pathology for faster, more accurate cancer diagnosis (incl. cervical cancer) in underserved regions; raised $1M from Azur Innovation Fund (2023).</t>
  </si>
  <si>
    <t xml:space="preserve">2023-05</t>
  </si>
  <si>
    <t xml:space="preserve">[Reclassified 2026-08-01] Old Sector: 'Healthtech' -&gt; New: 'Health'. Old Entity Type: 'Startup' -&gt; New Ecosystem Type: 'Startup'. [Refined 2026-08-02] Sector set to 'Health'. Maturity inferred as 'Growth' (funding 1-5M ($1,000,000)).</t>
  </si>
  <si>
    <t xml:space="preserve">DeepEcho</t>
  </si>
  <si>
    <t xml:space="preserve">Deep learning algorithms trained on fetal ultrasound videos to detect congenital malformations.</t>
  </si>
  <si>
    <t xml:space="preserve">Clinical trial validation</t>
  </si>
  <si>
    <t xml:space="preserve">2025-11-10</t>
  </si>
  <si>
    <t xml:space="preserve">Company website (DeepEcho)</t>
  </si>
  <si>
    <t xml:space="preserve">https://deepecho.io/</t>
  </si>
  <si>
    <t xml:space="preserve">AI Crop Disease Detection</t>
  </si>
  <si>
    <t xml:space="preserve">DeepLeaf</t>
  </si>
  <si>
    <t xml:space="preserve">Founded 2023 by El Mahdi Aboulmanadel; ML models detect 1,000+ plant diseases/pests across 80 crops from leaf photos (Morshida app, CropScan, drone/API tools); won Orange POESAM Morocco 2025 first prize; IRCAI Top100.</t>
  </si>
  <si>
    <t xml:space="preserve">Startup profile &amp; award</t>
  </si>
  <si>
    <t xml:space="preserve">https://www.wearetech.africa/en/fils-uk/tech-stars/aboulmanadel-el-mahdi-uses-ai-to-improve-crop-surveillance</t>
  </si>
  <si>
    <t xml:space="preserve">Cross-checked with CNN feature and IRCAI Top100. [Reclassified 2026-08-01] Old Sector: 'Agritech' -&gt; New: 'Agriculture'. Old Entity Type: 'Startup' -&gt; New Ecosystem Type: 'Startup'. [Refined 2026-08-02] Sector set to 'Agriculture'. Maturity inferred as 'Early' (default for Startup/R&amp;D with no funding signal).</t>
  </si>
  <si>
    <t xml:space="preserve">Urban / Shared Mobility</t>
  </si>
  <si>
    <t xml:space="preserve">Enakl</t>
  </si>
  <si>
    <t xml:space="preserve">Urban mobility startup (2023) providing intelligent, sustainable collective transport for emerging markets.</t>
  </si>
  <si>
    <t xml:space="preserve">2026-01</t>
  </si>
  <si>
    <t xml:space="preserve">$2,300,000</t>
  </si>
  <si>
    <t xml:space="preserve">https://www.wamda.com/2026/01/morocco-enakl-raises-2-3-million-scale-intelligent-shared-mobility</t>
  </si>
  <si>
    <t xml:space="preserve">[Pending verification] AI/data central but not sole focus. [Reclassified 2026-08-01] Old Sector: 'General' -&gt; New: 'Maritime'. Old Entity Type: 'Startup' -&gt; New Ecosystem Type: 'Startup'. [Refined 2026-08-02] Sector set to 'Industry'. Maturity inferred as 'Growth' (funding 1-5M ($2,300,000)). [Web re-verification 2026-08-05] Status 'Not yet verified' -&gt; 'Verified'. Wamda (the cited source), TechCabal, Disrupt Africa and Financial Afrik all confirm Enakl's $2.3M raise (Jan 2026) to scale intelligent shared mobility in Morocco. Confirming source: https://www.wamda.com/2026/01/morocco-enakl-raises-2-3-million-scale-intelligent-shared-mobility Correction noted: The $2.3M round is described in most coverage as a seed round.</t>
  </si>
  <si>
    <t xml:space="preserve">Logistics / Transport SaaS</t>
  </si>
  <si>
    <t xml:space="preserve">Freterium</t>
  </si>
  <si>
    <t xml:space="preserve">Y Combinator (S21) transport-management SaaS (2020) connecting shippers with their logistics ecosystem in real time.</t>
  </si>
  <si>
    <t xml:space="preserve">2022-02</t>
  </si>
  <si>
    <t xml:space="preserve">Partech</t>
  </si>
  <si>
    <t xml:space="preserve">https://cdn-website.partechpartners.com/news/freterium-raises-4m-seed-round-disrupt-4-trillion-trucking-industry</t>
  </si>
  <si>
    <t xml:space="preserve">Seed led by Partech; investors incl. YC, CDG Invest, Outlierz. [Reclassified 2026-08-01] Old Sector: 'Enterprise AI' -&gt; New: 'Maritime'. Old Entity Type: 'Startup' -&gt; New Ecosystem Type: 'Startup'. [Refined 2026-08-02] Sector set to 'Industry'. Maturity inferred as 'Growth' (funding 1-5M ($4,000,000)).</t>
  </si>
  <si>
    <t xml:space="preserve">eKYC / Identity</t>
  </si>
  <si>
    <t xml:space="preserve">Indatacore</t>
  </si>
  <si>
    <t xml:space="preserve">Casablanca startup (founded 2016) providing deep-learning eKYC (face matching, liveness detection, document analysis) for financial institutions.</t>
  </si>
  <si>
    <t xml:space="preserve">Lucidity Insights</t>
  </si>
  <si>
    <t xml:space="preserve">https://lucidityinsights.com/startups/indatacore-18054</t>
  </si>
  <si>
    <t xml:space="preserve">Confirmed via dedicated research pass: real Casablanca eKYC/facial-recognition AI company, founded 2016. [Reclassified 2026-08-01] Old Sector: 'Fintech' -&gt; New: 'Industry'. Old Entity Type: 'Startup' -&gt; New Ecosystem Type: 'Startup'. [Refined 2026-08-02] Sector set to 'Industry'. Maturity inferred as 'Early' (default for Startup/R&amp;D with no funding signal).</t>
  </si>
  <si>
    <t xml:space="preserve">AI-Powered On-Demand Staffing</t>
  </si>
  <si>
    <t xml:space="preserve">Jobop</t>
  </si>
  <si>
    <t xml:space="preserve">Casablanca-based on-demand staffing/interim platform using predictive models that analyze skills, personality and organizational fit to match workers with employers; raised MAD 10 million (~$1 million) in 2022 with Azur Innovation Fund in the round.</t>
  </si>
  <si>
    <t xml:space="preserve">2022-04-19</t>
  </si>
  <si>
    <t xml:space="preserve">https://medias24.com/2022/04/19/jobop-boucle-une-levee-de-10-millions-de-dh/</t>
  </si>
  <si>
    <t xml:space="preserve">Funding verified via Medias24 and AfDB success-story profile; AI matching described in Le212 News 2025 roundup. [Added 2026-08-05 expansion pass]</t>
  </si>
  <si>
    <t xml:space="preserve">HR-tech / Recruitment</t>
  </si>
  <si>
    <t xml:space="preserve">Jobzyn</t>
  </si>
  <si>
    <t xml:space="preserve">AI recruitment startup (2023) matching candidates to jobs and assessing soft skills; clients include Deloitte, Glovo, Maroc Telecom, Inwi.</t>
  </si>
  <si>
    <t xml:space="preserve">https://disruptafrica.com/2025/09/16/moroccan-recruitment-startup-jobzyn-secures-funding-from-janngo-capital/</t>
  </si>
  <si>
    <t xml:space="preserve">AI-matching claims cross-checked with Le Courrier d'Algerie. [Reclassified 2026-08-01] Old Sector: 'Enterprise AI' -&gt; New: 'Industry'. Old Entity Type: 'Startup' -&gt; New Ecosystem Type: 'Startup'. [Refined 2026-08-02] Sector set to 'Industry'. Maturity inferred as 'Early' (default for Startup/R&amp;D with no funding signal).</t>
  </si>
  <si>
    <t xml:space="preserve">Legal AI (Legaltech)</t>
  </si>
  <si>
    <t xml:space="preserve">Juridia</t>
  </si>
  <si>
    <t xml:space="preserve">Rabat legaltech (founded 2023 by Omar El Adlouni); first 100% Moroccan legal AI trained on the Moroccan legal corpus to centralize and simplify access to regulations and jurisprudence.</t>
  </si>
  <si>
    <t xml:space="preserve">Startup profile</t>
  </si>
  <si>
    <t xml:space="preserve">https://medias24.com/2025/02/17/juridia-lia-marocaine-au-service-de-laccessibilite-au-droit/</t>
  </si>
  <si>
    <t xml:space="preserve">Interspeech 2023 research and GitHub repos corroborate. [Reclassified 2026-08-01] Old Sector: 'Enterprise AI' -&gt; New: 'Industry'. Old Entity Type: 'Startup' -&gt; New Ecosystem Type: 'Startup'. [Refined 2026-08-02] Sector set to 'Industry'. Maturity inferred as 'Early' (default for Startup/R&amp;D with no funding signal).</t>
  </si>
  <si>
    <t xml:space="preserve">Logistics &amp; Retail</t>
  </si>
  <si>
    <t xml:space="preserve">KubicBits</t>
  </si>
  <si>
    <t xml:space="preserve">SaaS platform (KubicFleet) and AI-driven autonomous multi-agent architecture solutions for the management of logistics fleets.</t>
  </si>
  <si>
    <t xml:space="preserve">Start-up website</t>
  </si>
  <si>
    <t xml:space="preserve">https://www.start-up.ma/liste-startups-au-maroc/kubicbits/</t>
  </si>
  <si>
    <t xml:space="preserve">AI-Enabled Travel Infrastructure</t>
  </si>
  <si>
    <t xml:space="preserve">Nuitee</t>
  </si>
  <si>
    <t xml:space="preserve">Casablanca-founded B2B travel-tech company (LiteAPI) connecting hotels, agencies and online travel distributors via APIs with real-time dashboards and predictive tourism analytics; raised a $48 million Series A led by Accel in 2024, one of Morocco's largest rounds ever.</t>
  </si>
  <si>
    <t xml:space="preserve">$48,000,000</t>
  </si>
  <si>
    <t xml:space="preserve">Series A amount and Accel backing verified in African Business coverage; also cited in Le212 News 2025 top-startups roundup. [Added 2026-08-05 expansion pass]</t>
  </si>
  <si>
    <t xml:space="preserve">Super App / Digital Payments</t>
  </si>
  <si>
    <t xml:space="preserve">ORA Technologies</t>
  </si>
  <si>
    <t xml:space="preserve">Casablanca fintech (2023) building a Moroccan super app (ORA Cash wallet + Kooul delivery) using AI for localized digital services.</t>
  </si>
  <si>
    <t xml:space="preserve">$10,000,000</t>
  </si>
  <si>
    <t xml:space="preserve">https://www.wamda.com/2026/07/morocco-ora-technologies-tops-series-a-10-million</t>
  </si>
  <si>
    <t xml:space="preserve">Series A extended to $10M, led by Azur Innovation Fund. [Reclassified 2026-08-01] Old Sector: 'Fintech' -&gt; New: 'Industry'. Old Entity Type: 'Startup' -&gt; New Ecosystem Type: 'Startup'. [Refined 2026-08-02] Sector set to 'Industry'. Maturity inferred as 'Established' (funding&gt;=5M ($10,000,000)).</t>
  </si>
  <si>
    <t xml:space="preserve">AI Yield Estimation &amp; Pest Management</t>
  </si>
  <si>
    <t xml:space="preserve">PCS Agri</t>
  </si>
  <si>
    <t xml:space="preserve">Moroccan agritech founded in 2022 building AI and IoT tools for yield estimation, pest management and seed tracking for Moroccan farmers; selected in the AgriTech4Morocco Innovation Challenge and reported to have raised a ~$400K seed round.</t>
  </si>
  <si>
    <t xml:space="preserve">$400,000</t>
  </si>
  <si>
    <t xml:space="preserve">LesEco.ma</t>
  </si>
  <si>
    <t xml:space="preserve">https://leseco.ma/maroc/agriculture-pcs-agri-porte-voix-de-la-digitalisation.html</t>
  </si>
  <si>
    <t xml:space="preserve">Profiled by LesEco and H24info; $400K seed figure reported by SignalBase funding tracker. [Added 2026-08-05 expansion pass]</t>
  </si>
  <si>
    <t xml:space="preserve">Remote Sensing</t>
  </si>
  <si>
    <t xml:space="preserve">SOWIT</t>
  </si>
  <si>
    <t xml:space="preserve">Combining satellite remote sensing and soil sensors with agronomic AI models to optimize irrigation.</t>
  </si>
  <si>
    <t xml:space="preserve">2026-05-24</t>
  </si>
  <si>
    <t xml:space="preserve">Company website (SOWIT)</t>
  </si>
  <si>
    <t xml:space="preserve">https://sowit.co/</t>
  </si>
  <si>
    <t xml:space="preserve">Cleaned malformed source URL (removed leading ', ') so the citation is a valid clickable link. [Reclassified 2026-08-01] Old Sector: 'Agritech' -&gt; New: 'Agriculture'. Old Entity Type: 'Startup' -&gt; New Ecosystem Type: 'Startup'. [Refined 2026-08-02] Sector set to 'Agriculture'. Maturity inferred as 'Early' (default for Startup/R&amp;D with no funding signal).</t>
  </si>
  <si>
    <t xml:space="preserve">Insurtech / Computer Vision</t>
  </si>
  <si>
    <t xml:space="preserve">SYGMA.AI</t>
  </si>
  <si>
    <t xml:space="preserve">Moroccan startup offering an AI/ML solution that detects vehicle damage and estimates repair cost from a single photo.</t>
  </si>
  <si>
    <t xml:space="preserve">Atlas Magazine</t>
  </si>
  <si>
    <t xml:space="preserve">https://www.atlas-mag.net/en/category/pays/maroc/sygma-ai-to-assess-motor-vehicle-damage-using-photos</t>
  </si>
  <si>
    <t xml:space="preserve">[Pending verification] Aggregator listing only. [Reclassified 2026-08-01] Old Sector: 'Fintech' -&gt; New: 'Industry'. Old Entity Type: 'Startup' -&gt; New Ecosystem Type: 'Startup'. [Refined 2026-08-02] Sector set to 'Industry'. Maturity inferred as 'Early' (default for Startup/R&amp;D with no funding signal).</t>
  </si>
  <si>
    <t xml:space="preserve">Soil Diagnostics</t>
  </si>
  <si>
    <t xml:space="preserve">Sand to Green</t>
  </si>
  <si>
    <t xml:space="preserve">Proprietary AI and satellite analysis (RegenWise) for monitoring arid soil restoration and carbon sequestration.using machine learning to solve the highly complex, unpredictable problem of desertification and soil degradation at a global scale</t>
  </si>
  <si>
    <t xml:space="preserve">Company website (Sand to Green)</t>
  </si>
  <si>
    <t xml:space="preserve">https://sandtogreen.com/</t>
  </si>
  <si>
    <t xml:space="preserve">[Reclassified 2026-08-01] Old Sector: 'Agritech' -&gt; New: 'Agriculture'. Old Entity Type: 'Startup' -&gt; New Ecosystem Type: 'Startup'. [Refined 2026-08-02] Sector set to 'Agriculture'. Maturity inferred as 'Growth' (funding 1-5M ($1,000,000)).</t>
  </si>
  <si>
    <t xml:space="preserve">Darija/Tamazight LLM &amp; NLP</t>
  </si>
  <si>
    <t xml:space="preserve">Sawalni (Omneity Labs)</t>
  </si>
  <si>
    <t xml:space="preserve">First LLM and conversational AI built for Moroccan Darija (Arabic + Latin scripts), Hassaniya, Tachelhit, Tarifit and Tamazight (Tifinagh); built by Omar Kamali (2023); open Darija datasets on Hugging Face.</t>
  </si>
  <si>
    <t xml:space="preserve">Product profile</t>
  </si>
  <si>
    <t xml:space="preserve">Sawalni (official)</t>
  </si>
  <si>
    <t xml:space="preserve">https://sawalni.com/</t>
  </si>
  <si>
    <t xml:space="preserve">Cross-checked with Featherless.ai interview and Hugging Face datasets. [Reclassified 2026-08-01] Old Sector: 'Enterprise AI' -&gt; New: 'Industry'. Old Entity Type: 'Startup' -&gt; New Ecosystem Type: 'Startup'. [Refined 2026-08-02] Sector set to 'Industry'. Maturity inferred as 'Early' (default for Startup/R&amp;D with no funding signal).</t>
  </si>
  <si>
    <t xml:space="preserve">AI Credit Scoring / Lending</t>
  </si>
  <si>
    <t xml:space="preserve">Talaty</t>
  </si>
  <si>
    <t xml:space="preserve">Fintech (founded 2022) blending behavioural finance with AI to score SME creditworthiness, offering banks lending-as-a-service.</t>
  </si>
  <si>
    <t xml:space="preserve">https://launchbaseafrica.com/2024/12/19/moroccos-talaty-gains-strategic-investment-to-expand-ai-powered-credit-solutions/</t>
  </si>
  <si>
    <t xml:space="preserve">Corroborated by CEED FinTech Catalyst program. [Reclassified 2026-08-01] Old Sector: 'Fintech' -&gt; New: 'Industry'. Old Entity Type: 'Startup' -&gt; New Ecosystem Type: 'Startup'. [Refined 2026-08-02] Sector set to 'Industry'. Maturity inferred as 'Early' (default for Startup/R&amp;D with no funding signal).</t>
  </si>
  <si>
    <t xml:space="preserve">NLP / Customer Experience</t>
  </si>
  <si>
    <t xml:space="preserve">ToumAI Analytics</t>
  </si>
  <si>
    <t xml:space="preserve">Startup (founded 2021) building NLP that analyses African and Arabic dialects to improve customer experience; raised $1M pre-seed (Feb 2025) led by Launch Africa Ventures.</t>
  </si>
  <si>
    <t xml:space="preserve">https://launchbaseafrica.com/2025/02/10/moroccan-ai-spin-off-toumai-secures-1-million-in-pre-seed-funding/</t>
  </si>
  <si>
    <t xml:space="preserve">Acquisition, reacquisition and new round cross-verified. [Reclassified 2026-08-01] Old Sector: 'Enterprise AI' -&gt; New: 'Industry'. Old Entity Type: 'Startup' -&gt; New Ecosystem Type: 'Startup'. [Refined 2026-08-02] Sector set to 'Industry'. Maturity inferred as 'Growth' (funding 1-5M ($1,000,000)).</t>
  </si>
  <si>
    <t xml:space="preserve">Retail-tech / Nanostores</t>
  </si>
  <si>
    <t xml:space="preserve">Woliz</t>
  </si>
  <si>
    <t xml:space="preserve">Casablanca retail-tech platform (2025) connecting nanostores to the digital economy using AI.</t>
  </si>
  <si>
    <t xml:space="preserve">$2,200,000</t>
  </si>
  <si>
    <t xml:space="preserve">StartupHub.ai</t>
  </si>
  <si>
    <t xml:space="preserve">https://www.startuphub.ai/countries/morocco</t>
  </si>
  <si>
    <t xml:space="preserve">[Reclassified 2026-08-01] Old Sector: 'General' -&gt; New: 'Industry'. Old Entity Type: 'Startup' -&gt; New Ecosystem Type: 'Startup'. [Refined 2026-08-02] Sector set to 'Industry'. Maturity inferred as 'Early' (default for Startup/R&amp;D with no funding signal). [Web re-verification 2026-08-05] Status 'Not yet verified' -&gt; 'Verified'. Official site woliz.com plus Disrupt Africa and We Are Tech coverage confirm the Casablanca retail-tech/fintech platform digitizing Morocco's nanostores. Confirming source: https://disruptafrica.com/2026/01/15/moroccan-retail-tech-startup-woliz-raises-2-2m-pre-seed-funding-round/ Correction noted: Row lists funding N/A, but Woliz raised a $2.2M pre-seed round (January 2026). [Web re-verification 2026-08-05] Recent Funding 'N/A' -&gt; '$2,200,000' per verified round.</t>
  </si>
  <si>
    <t xml:space="preserve">Agri Supply Chain / ML Forecasting</t>
  </si>
  <si>
    <t xml:space="preserve">YoLa Fresh</t>
  </si>
  <si>
    <t xml:space="preserve">Casablanca agritech (founded 2023) connecting smallholder farmers to retailers; $7M pre-Series A (May 2024, led by Al Mada Ventures); applying machine learning for demand forecasting.</t>
  </si>
  <si>
    <t xml:space="preserve">https://techcrunch.com/2024/05/30/yola-fresh-a-grubmarket-for-morocco-digs-up-7m-to-connect-farmers-with-food-sellers/</t>
  </si>
  <si>
    <t xml:space="preserve">[Pending verification] AI centrality partial (ML forecasting cited by AgFunder). [Reclassified 2026-08-01] Old Sector: 'Agritech' -&gt; New: 'Agriculture'. Old Entity Type: 'Startup' -&gt; New Ecosystem Type: 'Startup'. [Refined 2026-08-02] Sector set to 'Agriculture'. Maturity inferred as 'Established' (funding&gt;=5M ($7,000,000)). [Web re-verification 2026-08-05] Status 'Not yet verified' -&gt; 'Verified'. TechCrunch (May 2024) confirms the Moroccan agritech's $7M pre-Series A connecting farmers to food sellers; Wamda and WAYA corroborate. Confirming source: https://techcrunch.com/2024/05/30/yola-fresh-a-grubmarket-for-morocco-digs-up-7m-to-connect-farmers-with-food-sellers/ Correction noted: Note: Al Mada Ventures subsequently took a controlling stake in YoLa Fresh (Nov 2024 reports).</t>
  </si>
  <si>
    <t xml:space="preserve">Spain</t>
  </si>
  <si>
    <t xml:space="preserve">South Summit Madrid</t>
  </si>
  <si>
    <t xml:space="preserve">Annual innovation and entrepreneurship gathering co-organised with IE University; across fourteen editions it has processed more than 42,500 startups and its Startup Competition alumni have raised over $20.5bn.</t>
  </si>
  <si>
    <t xml:space="preserve">Capital-Riesgo</t>
  </si>
  <si>
    <t xml:space="preserve">https://capital-riesgo.es/en/articles/spain-ranks-as-the-fifth-european-country-in-ai-funding-acquisition/</t>
  </si>
  <si>
    <t xml:space="preserve">Public Innovation Funding</t>
  </si>
  <si>
    <t xml:space="preserve">CDTI</t>
  </si>
  <si>
    <t xml:space="preserve">Spanish public agency for industrial technological development, an active co-funder of AI startups including Landbot's early rounds.</t>
  </si>
  <si>
    <t xml:space="preserve">Novobrief</t>
  </si>
  <si>
    <t xml:space="preserve">https://novobrief.com/the-top-five-ai-startups-in-barcelona-to-watch-through-2026/11804/</t>
  </si>
  <si>
    <t xml:space="preserve">Nauta Capital</t>
  </si>
  <si>
    <t xml:space="preserve">Barcelona-based venture capital firm active in Spanish B2B software and AI, lead investor in rounds including Danelfin.</t>
  </si>
  <si>
    <t xml:space="preserve">Swanlaab Venture Factory</t>
  </si>
  <si>
    <t xml:space="preserve">Spanish venture capital firm, lead investor in Landbot's Series A alongside CDTI.</t>
  </si>
  <si>
    <t xml:space="preserve">Barcelona AI Factory (EuroHPC)</t>
  </si>
  <si>
    <t xml:space="preserve">One of the EU's AI Factories, hosted in Barcelona with roughly EUR 200M of funding, giving startups and researchers access to public AI compute.</t>
  </si>
  <si>
    <t xml:space="preserve">AI Summit Barcelona (ecosystem dossier)</t>
  </si>
  <si>
    <t xml:space="preserve">https://aisummitbarcelona.com/resources/barcelona-europe-ai-hub</t>
  </si>
  <si>
    <t xml:space="preserve">Funding figure from a conference dossier; confirm against EuroHPC JU. | Merged from the northern-Mediterranean extension. Original taxonomy: sector 'General', application sector 'Cross-sector', entity type 'Hub'. Maturity not recorded in the source.</t>
  </si>
  <si>
    <t xml:space="preserve">MareNostrum 5 AI expansion</t>
  </si>
  <si>
    <t xml:space="preserve">EUR 90M investment under the AI Strategy 2024 creating specialised clusters that raise MareNostrum 5 capacity by nearly 50% to over 450 petaflops, with 20% of capacity reserved for industry.</t>
  </si>
  <si>
    <t xml:space="preserve">EUR 90,000,000</t>
  </si>
  <si>
    <t xml:space="preserve">BSC-CNS (official)</t>
  </si>
  <si>
    <t xml:space="preserve">https://www.bsc.es/news/bsc-news/spanish-government-strengthens-ai-capabilities-marenostrum-5-supercomputer-managed-bsc</t>
  </si>
  <si>
    <t xml:space="preserve">Merged from the northern-Mediterranean extension. Original taxonomy: sector 'General', application sector 'Government', entity type 'Hub'. Maturity not recorded in the source.</t>
  </si>
  <si>
    <t xml:space="preserve">AI Supervision</t>
  </si>
  <si>
    <t xml:space="preserve">AESIA - Spanish Agency for the Supervision of AI</t>
  </si>
  <si>
    <t xml:space="preserve">First dedicated AI supervision agency in any EU member state, headquartered in A Coruna. Supervises high-risk AI systems under the EU AI Act, coordinates with the European AI Office, and acts as a think-and-do tank. Created by Royal Decree 729/2023.</t>
  </si>
  <si>
    <t xml:space="preserve">La Moncloa (Government of Spain)</t>
  </si>
  <si>
    <t xml:space="preserve">https://www.lamoncloa.gob.es/lang/en/gobierno/news/paginas/2024/20240619-ai-oversight-agency.aspx</t>
  </si>
  <si>
    <t xml:space="preserve">Advisory Governance</t>
  </si>
  <si>
    <t xml:space="preserve">Advisory Council on Artificial Intelligence</t>
  </si>
  <si>
    <t xml:space="preserve">Body assisting Spanish authorities in defining and monitoring AI policy; complemented by an International Advisory Council on AI set up in June 2024 by the Ministry for Digital Transformation.</t>
  </si>
  <si>
    <t xml:space="preserve">https://www.oecd.org/en/publications/progress-in-implementing-the-european-union-coordinated-plan-on-artificial-intelligence-volume-1_6d530a88-en/spain_5273a683-en.html</t>
  </si>
  <si>
    <t xml:space="preserve">Artificial Intelligence Strategy 2024</t>
  </si>
  <si>
    <t xml:space="preserve">Updated national strategy approved by the Council of Ministers in May 2024, stressing HPC capacity, adaptation to generative AI and a cross-sectoral approach, with KPIs attached to each initiative.</t>
  </si>
  <si>
    <t xml:space="preserve">2024-05-14</t>
  </si>
  <si>
    <t xml:space="preserve">Ministry for Digital Transformation (digital.gob.es)</t>
  </si>
  <si>
    <t xml:space="preserve">https://digital.gob.es/en/comunicacion/notas-prensa/secretaria-digitalizacion-e-inteligencia-artificial/2024/05/2024-05-14</t>
  </si>
  <si>
    <t xml:space="preserve">Draft Legislation</t>
  </si>
  <si>
    <t xml:space="preserve">Draft Bill for the Good Use and Governance of AI</t>
  </si>
  <si>
    <t xml:space="preserve">Spanish draft bill adapting national law to the EU AI Act, replicating its risk categories, prohibited practices and high-risk obligations, with a multi-tiered governance structure and significant penalties.</t>
  </si>
  <si>
    <t xml:space="preserve">Draft legislation</t>
  </si>
  <si>
    <t xml:space="preserve">https://regulations.ai/regulations/spain-summary</t>
  </si>
  <si>
    <t xml:space="preserve">Draft status: confirm whether it has since been enacted. | Merged from the northern-Mediterranean extension. Original taxonomy: sector 'Policy', application sector 'Government', entity type 'Policy'. Maturity not recorded in the source.</t>
  </si>
  <si>
    <t xml:space="preserve">ENIA - Estrategia Nacional de Inteligencia Artificial (2020)</t>
  </si>
  <si>
    <t xml:space="preserve">Spain's first national AI strategy, adopted 2020 within Espana Digital 2026 and forming Component 16 of the national Recovery and Resilience Plan. Established the groundwork for algorithmic-impact observatories, a voluntary Sello IA certification and a supervisory agency.</t>
  </si>
  <si>
    <t xml:space="preserve">https://regulations.ai/regulations/RAI-ES-NA-NAISEXX-2020</t>
  </si>
  <si>
    <t xml:space="preserve">Corroborated by the OECD EU Coordinated Plan country note for Spain. | Merged from the northern-Mediterranean extension. Original taxonomy: sector 'Policy', application sector 'Government', entity type 'Policy'. Maturity not recorded in the source.</t>
  </si>
  <si>
    <t xml:space="preserve">Digital Strategy</t>
  </si>
  <si>
    <t xml:space="preserve">Espana Digital 2026</t>
  </si>
  <si>
    <t xml:space="preserve">National digital transformation strategy hosting Spain's AI initiatives, including the Protection Plan for Vulnerable Groups in AI and the Awareness and Trust Plan for AI.</t>
  </si>
  <si>
    <t xml:space="preserve">HSF Kramer AI Tracker</t>
  </si>
  <si>
    <t xml:space="preserve">https://www.hsfkramer.com/insights/reports/ai-tracker/spain</t>
  </si>
  <si>
    <t xml:space="preserve">Regional Coordination</t>
  </si>
  <si>
    <t xml:space="preserve">RETECH - Territorial Networks of Technological Specialization</t>
  </si>
  <si>
    <t xml:space="preserve">Mechanism fostering regional-level cooperation on digital transformation, with working groups on language technologies, HPC and data centres, and public-administration AI use cases.</t>
  </si>
  <si>
    <t xml:space="preserve">https://www.oecd.org/content/dam/oecd/en/publications/reports/2025/10/progress-in-implementing-the-european-union-coordinated-plan-on-artificial-intelligence-volume-1-country-notes_b0385317/spain_b6ff58af/5273a683-en.pdf</t>
  </si>
  <si>
    <t xml:space="preserve">Spanish AI Regulatory Sandbox (RD 817/2023)</t>
  </si>
  <si>
    <t xml:space="preserve">Controlled environment for testing high-risk AI systems under regulatory supervision, managed by AESIA to facilitate safe experimentation and EU AI Act compliance.</t>
  </si>
  <si>
    <t xml:space="preserve">ALIA</t>
  </si>
  <si>
    <t xml:space="preserve">First European public, open and multilingual AI infrastructure, announced January 2025 and coordinated by BSC with SEDIA. Provides open language models in Spanish and co-official languages; ALIA-40B is presented as Europe's most advanced public multilingual foundation model, trained on MareNostrum 5 and 100% publicly funded.</t>
  </si>
  <si>
    <t xml:space="preserve">https://www.bsc.es/news/bsc-news/alia-europes-first-public-open-and-multilingual-ai-infrastructure</t>
  </si>
  <si>
    <t xml:space="preserve">Barcelona Supercomputing Center (BSC-CNS)</t>
  </si>
  <si>
    <t xml:space="preserve">Spain's national supercomputing centre, operator of MareNostrum 5 and technical coordinator of the national language-model plan; a core node of the country's public AI infrastructure.</t>
  </si>
  <si>
    <t xml:space="preserve">Language Model Research</t>
  </si>
  <si>
    <t xml:space="preserve">MarIA</t>
  </si>
  <si>
    <t xml:space="preserve">First large Spanish-language model trained by BSC, built on 59TB of language data from the Biblioteca Nacional de Espana and released free for developers; predecessor to the ALIA family.</t>
  </si>
  <si>
    <t xml:space="preserve">Hyperion Research</t>
  </si>
  <si>
    <t xml:space="preserve">https://hyperionresearch.com/product/barcelona-supercomputing-center-trains-spanish-nlp-model/</t>
  </si>
  <si>
    <t xml:space="preserve">Language Technology</t>
  </si>
  <si>
    <t xml:space="preserve">Projecte Aina</t>
  </si>
  <si>
    <t xml:space="preserve">Catalan-language AI initiative coordinated by BSC-CNS, training open models on MareNostrum 5 to keep Catalan viable in digital and AI applications.</t>
  </si>
  <si>
    <t xml:space="preserve">Projecte Aina (official)</t>
  </si>
  <si>
    <t xml:space="preserve">https://projecteaina.cat/tech/en/</t>
  </si>
  <si>
    <t xml:space="preserve">AI Safety &amp; Guardrails</t>
  </si>
  <si>
    <t xml:space="preserve">Alinia AI</t>
  </si>
  <si>
    <t xml:space="preserve">Barcelona company founded 2023 building a model-agnostic platform to evaluate AI guardrails, with an API for flagging, blocking, redacting and reporting. Raised $7.5M seed in December 2025.</t>
  </si>
  <si>
    <t xml:space="preserve">$7,500,000</t>
  </si>
  <si>
    <t xml:space="preserve">Clinical Trials AI</t>
  </si>
  <si>
    <t xml:space="preserve">Biorce</t>
  </si>
  <si>
    <t xml:space="preserve">Barcelona startup using AI to accelerate clinical-trial design and patient recruitment.</t>
  </si>
  <si>
    <t xml:space="preserve">https://techfundingnews.com/top-ai-startups-in-spain-2026-the-companies-attracting-most-investment/</t>
  </si>
  <si>
    <t xml:space="preserve">AI Stock Analytics</t>
  </si>
  <si>
    <t xml:space="preserve">Danelfin</t>
  </si>
  <si>
    <t xml:space="preserve">Barcelona fintech using explainable AI to score stocks and support investment decisions; raised EUR 2M in 2024 led by Nauta Capital.</t>
  </si>
  <si>
    <t xml:space="preserve">EUR 2,000,000</t>
  </si>
  <si>
    <t xml:space="preserve">Fracttal</t>
  </si>
  <si>
    <t xml:space="preserve">Madrid-headquartered company providing AI predictive-maintenance software for industrial asset management. Founded 2015, $50.5M total funding.</t>
  </si>
  <si>
    <t xml:space="preserve">$50,500,000</t>
  </si>
  <si>
    <t xml:space="preserve">Workforce Automation</t>
  </si>
  <si>
    <t xml:space="preserve">Job&amp;Talent</t>
  </si>
  <si>
    <t xml:space="preserve">Madrid platform using machine learning to automate hiring, workforce scheduling, payroll and productivity tracking for logistics, retail and warehouse operators. Raised EUR 103M Series F in April 2025; Spain's highest-valued unicorn at around $1.2bn.</t>
  </si>
  <si>
    <t xml:space="preserve">$1,200,000,000</t>
  </si>
  <si>
    <t xml:space="preserve">Funding figure is total raised, not a single round. | Merged from the northern-Mediterranean extension. Original taxonomy: sector 'Enterprise AI', application sector 'Industry', entity type 'Startup'. Maturity not recorded in the source.</t>
  </si>
  <si>
    <t xml:space="preserve">Conversational Automation</t>
  </si>
  <si>
    <t xml:space="preserve">Landbot</t>
  </si>
  <si>
    <t xml:space="preserve">Barcelona no-code platform letting non-technical users build AI assistants for support and marketing workflows.</t>
  </si>
  <si>
    <t xml:space="preserve">Source states an implausible '$8 billion Series A' (likely $8M typo); funding left blank rather than repeat it. | Merged from the northern-Mediterranean extension. Original taxonomy: sector 'Enterprise AI', application sector 'Industry', entity type 'Startup'. Maturity not recorded in the source.</t>
  </si>
  <si>
    <t xml:space="preserve">Quantum-AI Software</t>
  </si>
  <si>
    <t xml:space="preserve">Multiverse Computing</t>
  </si>
  <si>
    <t xml:space="preserve">San Sebastian company applying quantum-inspired techniques to AI model compression and optimisation; raised a EUR 189M Series B in 2025, among Spain's largest AI rounds.</t>
  </si>
  <si>
    <t xml:space="preserve">EUR 189,000,000</t>
  </si>
  <si>
    <t xml:space="preserve">Startup Reporter</t>
  </si>
  <si>
    <t xml:space="preserve">https://www.startupreporter.eu/spain-tech-ecosystem-10000-companies-ai-growth-2026/</t>
  </si>
  <si>
    <t xml:space="preserve">AI Collections Automation</t>
  </si>
  <si>
    <t xml:space="preserve">Murphy</t>
  </si>
  <si>
    <t xml:space="preserve">Barcelona platform replacing manual debt-collection work with AI, operating in 30+ countries with clients including KPMG and Grenke. Raised $15M in July 2025 led by Northzone.</t>
  </si>
  <si>
    <t xml:space="preserve">$15,000,000</t>
  </si>
  <si>
    <t xml:space="preserve">Sherpa.ai</t>
  </si>
  <si>
    <t xml:space="preserve">Basque Country company building conversational AI and privacy-preserving federated learning systems.</t>
  </si>
  <si>
    <t xml:space="preserve">Growth List</t>
  </si>
  <si>
    <t xml:space="preserve">https://growthlist.co/spain-startups/</t>
  </si>
  <si>
    <t xml:space="preserve">Early Cancer Detection</t>
  </si>
  <si>
    <t xml:space="preserve">Universal Diagnostics</t>
  </si>
  <si>
    <t xml:space="preserve">Spanish company developing blood-based early cancer detection, supported by government-backed funding.</t>
  </si>
  <si>
    <t xml:space="preserve">Geospatial AI</t>
  </si>
  <si>
    <t xml:space="preserve">Xoople</t>
  </si>
  <si>
    <t xml:space="preserve">Madrid company building a geospatial AI platform and dynamic digital twins from satellite imagery, with a strategic sensor partnership with L3Harris Technologies. Founded 2020, $280M total funding.</t>
  </si>
  <si>
    <t xml:space="preserve">$280,000,000</t>
  </si>
  <si>
    <t xml:space="preserve">AI Cybersecurity</t>
  </si>
  <si>
    <t xml:space="preserve">Zynap</t>
  </si>
  <si>
    <t xml:space="preserve">Barcelona AI cybersecurity platform founded 2024 that predicts and neutralises threats by replicating attacker tactics; EUR 5.7M secured.</t>
  </si>
  <si>
    <t xml:space="preserve">EUR 5,700,000</t>
  </si>
  <si>
    <t xml:space="preserve">https://www.eu-startups.com/2025/03/the-next-big-thing-10-promising-spanish-startups-you-should-keep-an-eye-on/</t>
  </si>
  <si>
    <t xml:space="preserve">Tunisia</t>
  </si>
  <si>
    <t xml:space="preserve">AI Professional Association</t>
  </si>
  <si>
    <t xml:space="preserve">ATIA (Association Tunisienne pour l'Intelligence Artificielle)</t>
  </si>
  <si>
    <t xml:space="preserve">Non-profit (2005, founded by Prof. Khaled Ghedira) promoting AI's socio-economic role and mobilising the AI ecosystem.</t>
  </si>
  <si>
    <t xml:space="preserve">2005</t>
  </si>
  <si>
    <t xml:space="preserve">ATIA (official)</t>
  </si>
  <si>
    <t xml:space="preserve">https://atia.org.tn/</t>
  </si>
  <si>
    <t xml:space="preserve">Confirmed via dedicated research pass: real non-profit launched 2023 by RECONNECTT. [Reclassified 2026-08-01] Old Sector: 'General' -&gt; New: 'Energy, Agriculture, Maritime, Health, Industry, Education'. Old Entity Type: 'Hub' -&gt; New Ecosystem Type: 'Community/Association'. [Refined 2026-08-02] Sector forced to single label 'Industry' (was multi-sector: Energy, Agriculture, Maritime, Health, Industry, Education). Maturity inferred as 'Established' (structural-type).</t>
  </si>
  <si>
    <t xml:space="preserve">AI Community Conference</t>
  </si>
  <si>
    <t xml:space="preserve">IndabaX Tunisia</t>
  </si>
  <si>
    <t xml:space="preserve">Tunisian chapter of the Deep Learning Indaba; annual community ML/AI congress since 2019; 6th edition May 3-4 2025 at Sup'Com, sponsored by InstaDeep.</t>
  </si>
  <si>
    <t xml:space="preserve">Event profile</t>
  </si>
  <si>
    <t xml:space="preserve">Deep Learning Indaba (official)</t>
  </si>
  <si>
    <t xml:space="preserve">https://deeplearningindaba.com/2025/indabax/tunisia/</t>
  </si>
  <si>
    <t xml:space="preserve">Official Indaba page + InstaDeep recap concur. [Reclassified 2026-08-01] Old Sector: 'General' -&gt; New: 'Energy, Agriculture, Maritime, Health, Industry, Education'. Old Entity Type: 'Hub' -&gt; New Ecosystem Type: 'Community/Association'. [Refined 2026-08-02] Sector forced to single label 'Industry' (was multi-sector: Energy, Agriculture, Maritime, Health, Industry, Education). Maturity inferred as 'Established' (structural-type). [Audit 2026-08-05] Entity Type corrected: 'Community/Association' -&gt; 'Conference/Summit'. [Audit 2026-08-05] Reason: annual congress; aligned with Deep Learning IndabaX Morocco classification [Merge re-audit 2026-08] Ecosystem Type corrected: 'Conference/Summit' -&gt; 'Community/Association'. Was Conference/Summit - description confirms this is a recurring annual chapter ('community ML/AI congress since 2019') of the Deep Learning Indaba movement, not a single conference event.</t>
  </si>
  <si>
    <t xml:space="preserve">Tunisian AI Society (TAIS)</t>
  </si>
  <si>
    <t xml:space="preserve">Non-profit society launched by the RECONNECTT association (2023) to promote AI culture in Tunisia, networking Tunisian AI experts/researchers in-country and in the diaspora.</t>
  </si>
  <si>
    <t xml:space="preserve">WebManagerCenter</t>
  </si>
  <si>
    <t xml:space="preserve">https://www.webmanagercenter.com/2023/05/22/508152/la-societe-tunisienne-de-lintelligence-artificielle-voit-le-jour/</t>
  </si>
  <si>
    <t xml:space="preserve">Distinct from TAIS; founding corroborated. [Reclassified 2026-08-01] Old Sector: 'General' -&gt; New: 'Energy, Agriculture, Maritime, Health, Industry, Education'. Old Entity Type: 'Hub' -&gt; New Ecosystem Type: 'Community/Association'. [Refined 2026-08-02] Sector forced to single label 'Industry' (was multi-sector: Energy, Agriculture, Maritime, Health, Industry, Education). Maturity inferred as 'Established' (structural-type).</t>
  </si>
  <si>
    <t xml:space="preserve">Ministerial AI Summit</t>
  </si>
  <si>
    <t xml:space="preserve">AI Forward Summit (AICTO, Tunis)</t>
  </si>
  <si>
    <t xml:space="preserve">Arab-region ministerial AI summit in Tunis (Nov 30-Dec 3, 2025) organized by the Arab ICT Organization (HQ Tunis) with the Ministry of Communication Technologies; 500+ participants; produced the Tunis Declaration (WSIS+20).</t>
  </si>
  <si>
    <t xml:space="preserve">Event news</t>
  </si>
  <si>
    <t xml:space="preserve">2025-11</t>
  </si>
  <si>
    <t xml:space="preserve">AICTO (official)</t>
  </si>
  <si>
    <t xml:space="preserve">https://www.aicto.org/9818-2/</t>
  </si>
  <si>
    <t xml:space="preserve">AICTO pages + Council of Europe participation page concur. [Reclassified 2026-08-01] Old Sector: 'Policy' -&gt; New: 'Energy, Agriculture, Maritime, Health, Industry, Education'. Old Entity Type: 'Hub' -&gt; New Ecosystem Type: 'Conference/Summit'. [Refined 2026-08-02] Sector forced to single label 'Industry' (was multi-sector: Energy, Agriculture, Maritime, Health, Industry, Education). Maturity inferred as 'Established' (structural-type).</t>
  </si>
  <si>
    <t xml:space="preserve">Smart agriculture investment matchmaking</t>
  </si>
  <si>
    <t xml:space="preserve">APIA 'Startups Agricoles - Investisseurs Agricoles' B2B Day</t>
  </si>
  <si>
    <t xml:space="preserve">B2B matchmaking day held June 11, 2026 in Tunis by APIA (Agence de Promotion des Investissements Agricoles) under the theme 'Investing in technology for resilient agriculture', connecting 20 Tunisian agritech startups with 200 agricultural investors/operators around smart irrigation, digitalization and AI in agricultural services. APIA states it supports around 50 agricultural startups with coaching and financing access.</t>
  </si>
  <si>
    <t xml:space="preserve">2026-06-11</t>
  </si>
  <si>
    <t xml:space="preserve">Webmanagercenter (WMC)</t>
  </si>
  <si>
    <t xml:space="preserve">https://www.webmanagercenter.com/2026/06/11/568180/agriculture-intelligente-20-startups-et-200-investisseurs-reunis-par-lapia-a-tunis/</t>
  </si>
  <si>
    <t xml:space="preserve">Reported by WMC; APIA is the official government agricultural investment agency. [Added 2026-08-05 expansion pass]</t>
  </si>
  <si>
    <t xml:space="preserve">Mediterranean AI forum</t>
  </si>
  <si>
    <t xml:space="preserve">FMIA - Forum Mediterraneen de l'Intelligence Artificielle 2025</t>
  </si>
  <si>
    <t xml:space="preserve">Mediterranean AI forum held in Tunis on November 20-21, 2025, showcasing local AI innovation and serving as the stage where major Tunisian players (including Tunisie Telecom) presented AI strategies; the forum includes a flagship hackathon and aims to pipeline AI solutions toward local incubation and funding.</t>
  </si>
  <si>
    <t xml:space="preserve">2025-11-21</t>
  </si>
  <si>
    <t xml:space="preserve">FMIA (official site)</t>
  </si>
  <si>
    <t xml:space="preserve">https://fmia.ai/hackathon/</t>
  </si>
  <si>
    <t xml:space="preserve">Official forum website; the event and dates are corroborated by Webdo's coverage of Tunisie Telecom's participation. [Added 2026-08-05 expansion pass]</t>
  </si>
  <si>
    <t xml:space="preserve">HealthTech conference &amp; incubation</t>
  </si>
  <si>
    <t xml:space="preserve">The Bridge AI &amp; Healthcare Summit 2026</t>
  </si>
  <si>
    <t xml:space="preserve">First-edition summit held June 8, 2026 at the Radisson Blu Tunis, organized by the Organisation Nationale des Entrepreneurs (ONE) and the Association des Medecins Tunisiens dans le Monde (AMTM), gathering several hundred participants and 44 invited digital-health startups around clinical AI, telemedicine and biotech. The event launched 'The Bridge', pitched as Tunisia's first health/AI-focused incubator-accelerator linking Tunisia to Europe, with an aspirational EUR 5-10M dedicated fund.</t>
  </si>
  <si>
    <t xml:space="preserve">https://www.webmanagercenter.com/2026/06/08/567994/tunisie-un-sommet-ai-healthcare-2026-pour-accelerer-la-transformation-numerique-du-secteur-de-la-sante/</t>
  </si>
  <si>
    <t xml:space="preserve">Covered by both WMC and Tunisientreprendre with consistent organizers, date and incubator-launch details. [Added 2026-08-05 expansion pass]</t>
  </si>
  <si>
    <t xml:space="preserve">Tech &amp; AI Conference</t>
  </si>
  <si>
    <t xml:space="preserve">Tunisia Digital Summit (TDS)</t>
  </si>
  <si>
    <t xml:space="preserve">Tunisia's main digital-economy summit; 10th edition (April 22-23, 2026, Tunis, 2,000+ professionals) centered on AI, cybersecurity and startups.</t>
  </si>
  <si>
    <t xml:space="preserve">https://www.webmanagercenter.com/2026/04/22/565298/tunisia-digital-summit-2026-ia-cybersecurite-et-start-up-au-coeur-de-la-strategie-numerique/</t>
  </si>
  <si>
    <t xml:space="preserve">Diaspora AI forum &amp; awards</t>
  </si>
  <si>
    <t xml:space="preserve">Tunisia Global Forum 2026 (ATUGE / WATT)</t>
  </si>
  <si>
    <t xml:space="preserve">Forum held July 21, 2026 at the Radisson Blu Tunis on the theme 'Building the future in the AI era', organized by ATUGE under the World Alliance of Tunisian Talents with GIZ support, gathering 2,300+ participants, ~150 exhibiting companies/startups and 50+ speakers; it featured an AI white paper, the TGF AI Awards (27 competing initiatives) and a 200-participant AI hackathon (July 17-19, 2026).</t>
  </si>
  <si>
    <t xml:space="preserve">2026-07-21</t>
  </si>
  <si>
    <t xml:space="preserve">Tuniscope</t>
  </si>
  <si>
    <t xml:space="preserve">https://www.tuniscope.com/article/436104/actualites/societe/tunisie-tunisia-global-forum-2026-183914</t>
  </si>
  <si>
    <t xml:space="preserve">Covered by Tuniscope, La Presse de Tunisie and allAfrica with consistent details. [Added 2026-08-05 expansion pass]</t>
  </si>
  <si>
    <t xml:space="preserve">216 Capital</t>
  </si>
  <si>
    <t xml:space="preserve">Venture capital firm (pre-seed and seed) providing funding to tech and AI startups and entrepreneurs in Southern Europe and Africa.</t>
  </si>
  <si>
    <t xml:space="preserve">Fund settings</t>
  </si>
  <si>
    <t xml:space="preserve">Company website (216 Capital)</t>
  </si>
  <si>
    <t xml:space="preserve">https://216capital.vc/</t>
  </si>
  <si>
    <t xml:space="preserve">Fund of Funds</t>
  </si>
  <si>
    <t xml:space="preserve">ANAVA Fund of Funds</t>
  </si>
  <si>
    <t xml:space="preserve">Tunisia's first fund of funds (~EUR100M target), operated by Smart Capital under Startup Tunisia, investing in VC funds that back Tunisian tech and deep-tech/AI startups.</t>
  </si>
  <si>
    <t xml:space="preserve">EUR 100,000,000 (target)</t>
  </si>
  <si>
    <t xml:space="preserve">Startup Tunisia (Gov)</t>
  </si>
  <si>
    <t xml:space="preserve">https://startup.gov.tn/en/node/296</t>
  </si>
  <si>
    <t xml:space="preserve">Sourced to a single ecosystem directory - confirm against the fund's own site before treating as fully verified.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</si>
  <si>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Research &amp; Innovation Agency</t>
  </si>
  <si>
    <t xml:space="preserve">ANPR (Agence Nationale de la Promotion de la Recherche scientifique)</t>
  </si>
  <si>
    <t xml:space="preserve">National agency (est. 2008) that led Tunisia's AI Task Force and strategy workshops with UNESCO and manages National AI Fund grants and university AI Excellence Centers.</t>
  </si>
  <si>
    <t xml:space="preserve">Government agency profile</t>
  </si>
  <si>
    <t xml:space="preserve">ANPR (official)</t>
  </si>
  <si>
    <t xml:space="preserve">http://www.anpr.tn/national-ai-strategy-unlocking-tunisias-capabilities-potential/</t>
  </si>
  <si>
    <t xml:space="preserve">Official ANPR AI-strategy page live. [Reclassified 2026-08-01] Old Sector: 'Policy' -&gt; New: 'Energy, Agriculture, Maritime, Health, Industry, Education'. Old Entity Type: 'Policy' -&gt; New Ecosystem Type: 'Funding'. [Refined 2026-08-02] Sector forced to single label 'Education' (was multi-sector: Energy, Agriculture, Maritime, Health, Industry, Education). Maturity inferred as 'Established' (structural-type).</t>
  </si>
  <si>
    <t xml:space="preserve">Venture Capital / PE</t>
  </si>
  <si>
    <t xml:space="preserve">AfricInvest</t>
  </si>
  <si>
    <t xml:space="preserve">Tunis-HQ pan-African investment platform (1994) managing ~EUR1.1bn across 18 funds; Cathay AfricInvest Innovation Fund backs tech/AI-adjacent startups (e.g. GoMyCode).</t>
  </si>
  <si>
    <t xml:space="preserve">1994</t>
  </si>
  <si>
    <t xml:space="preserve">AfricInvest (official)</t>
  </si>
  <si>
    <t xml:space="preserve">https://www.africinvest.com/the-firm/</t>
  </si>
  <si>
    <t xml:space="preserve">Public Safety / e-Government</t>
  </si>
  <si>
    <t xml:space="preserve">Civil Protection AI &amp; Drones Modernisation Program</t>
  </si>
  <si>
    <t xml:space="preserve">~$51M AFD-financed government program to digitise Tunisia's 198 emergency number with 24 AI-equipped operation rooms plus drones and robots.</t>
  </si>
  <si>
    <t xml:space="preserve">$51,000,000</t>
  </si>
  <si>
    <t xml:space="preserve">https://www.ecofinagency.com/news-digital/2708-48183-tunisia-plans-51-million-ai-and-drones-program-to-modernize-civil-protection-services</t>
  </si>
  <si>
    <t xml:space="preserve">Egypt program verified; generalist (not AI-specific) fund. [Reclassified 2026-08-01] Old Sector: 'General' -&gt; New: 'Energy, Agriculture, Maritime, Health, Industry, Education'. Old Entity Type: 'Investor' -&gt; New Ecosystem Type: 'Funding'. [Refined 2026-08-02] Sector forced to single label 'Industry' (was multi-sector: Energy, Agriculture, Maritime, Health, Industry, Education). Maturity inferred as 'Established' (structural-type).</t>
  </si>
  <si>
    <t xml:space="preserve">Asset Management / PE</t>
  </si>
  <si>
    <t xml:space="preserve">UGFS-North Africa</t>
  </si>
  <si>
    <t xml:space="preserve">Tunis-based asset management and PE firm (2008, CMF-licensed) managing venture and PE funds active in Tunisia's tech and startup ecosystem.</t>
  </si>
  <si>
    <t xml:space="preserve">UGFS-NA (official)</t>
  </si>
  <si>
    <t xml:space="preserve">https://www.ugfsnorthafrica.com.tn/</t>
  </si>
  <si>
    <t xml:space="preserve">[Reclassified 2026-08-01] Old Sector: 'General' -&gt; New: 'Energy, Agriculture, Maritime, Health, Industry, Education'. Old Entity Type: 'Policy' -&gt; New Ecosystem Type: 'Funding'. [Refined 2026-08-02] Sector forced to single label 'Industry' (was multi-sector: Energy, Agriculture, Maritime, Health, Industry, Education). Maturity inferred as 'Established' (structural-type).</t>
  </si>
  <si>
    <t xml:space="preserve">AI in creative &amp; cultural industries</t>
  </si>
  <si>
    <t xml:space="preserve">'Meet the Professionals' Hackathon 2025 (TICDCE)</t>
  </si>
  <si>
    <t xml:space="preserve">Hackathon on 'Writing projects in the age of artificial intelligence' held November 20-24, 2025 at the Espace MAKEN creative hub in La Marsa, organized by the Centre International de Tunis pour l'Economie Culturelle Numerique (TICDCE) with startup Vegabook, gathering 50+ authors, artists, designers and developers for AI-tool workshops and a 24-hour challenge with three jury-selected winning projects.</t>
  </si>
  <si>
    <t xml:space="preserve">2025-11-20</t>
  </si>
  <si>
    <t xml:space="preserve">https://www.webmanagercenter.com/2025/11/20/556319/hackathon-2025-meet-the-professionals-explore-lia-en-tunisie/</t>
  </si>
  <si>
    <t xml:space="preserve">Reported by WMC, an established Tunisian business news outlet, with organizer and venue details. [Added 2026-08-05 expansion pass]</t>
  </si>
  <si>
    <t xml:space="preserve">AI/ML Hackathon</t>
  </si>
  <si>
    <t xml:space="preserve">AI Hack Tunisia</t>
  </si>
  <si>
    <t xml:space="preserve">Africa &amp; MENA's largest machine-learning hackathon (1,000+ participants), organized in Tunis by InstaDeep with Google and the Ministry of Industry, Mines and Energy.</t>
  </si>
  <si>
    <t xml:space="preserve">African Manager</t>
  </si>
  <si>
    <t xml:space="preserve">https://en.africanmanager.com/instadeep-organises-ai-hack-tunisia-2022-the-largest-ml-hackathon-in-africa-and-the-middle-east-in-partnership-with-google-and-the-tunisian-ministry-of-industry-mines-and-energy/</t>
  </si>
  <si>
    <t xml:space="preserve">Cross-checked with instadeep.com hackathon pages. [Reclassified 2026-08-01] Old Sector: 'General' -&gt; New: 'Energy'. Old Entity Type: 'Hub' -&gt; New Ecosystem Type: 'Hackathons'. [Refined 2026-08-02] Sector set to 'Energy'. Maturity inferred as 'Idea-stage' (hackathon-type). [Manual fix 2026-08-02] Sector corrected from Energy to Industry - the word 'Energy' only appeared as part of the co-organizing ministry's name ('Ministry of Industry, Mines and Energy'), not the hackathon's actual subject matter (generic ML/AI). This is a semantic false-positive that word-boundary keyword matching cannot catch - flagged as a known limitation of the keyword-hierarchy approach.</t>
  </si>
  <si>
    <t xml:space="preserve">Digital &amp; AI agriculture competition</t>
  </si>
  <si>
    <t xml:space="preserve">Green'TIC 2026 Competition (APIA / SIAT)</t>
  </si>
  <si>
    <t xml:space="preserve">APIA-organized national competition for the best digital and AI solutions applied to agriculture, fisheries and agrifood, open to Tunisian startups and project holders at home and abroad (applications until July 31, 2026), with finals during the SIAT 2026 agricultural investment fair (October 28-31, 2026). Winners receive financial prizes plus mentorship, incubation and market-access support.</t>
  </si>
  <si>
    <t xml:space="preserve">Event / Competition</t>
  </si>
  <si>
    <t xml:space="preserve">Tekiano</t>
  </si>
  <si>
    <t xml:space="preserve">https://www.tekiano.com/2026/07/10/concours-greentic-2026-pour-les-meilleures-solutions-numeriques-appliquees-a-lagriculture-appel-a-candidatures</t>
  </si>
  <si>
    <t xml:space="preserve">Call for applications reported by Tunisian tech outlet Tekiano; organizer APIA is a government agency. [Added 2026-08-05 expansion pass]</t>
  </si>
  <si>
    <t xml:space="preserve">AI prototyping hackathon</t>
  </si>
  <si>
    <t xml:space="preserve">Hackathon Talents Tunisie (FMIA 2025)</t>
  </si>
  <si>
    <t xml:space="preserve">Flagship hackathon of the Forum Mediterraneen de l'IA 2025 combining an online phase and in-person finals in Tunis on November 21, 2025, where early-stage teams prototyped AI solutions for local needs; winners received intensive AI, innovation and entrepreneurship support to continue beyond the forum.</t>
  </si>
  <si>
    <t xml:space="preserve">Details taken from the hackathon's official page including registration timeline and prize structure. [Added 2026-08-05 expansion pass]</t>
  </si>
  <si>
    <t xml:space="preserve">Agritech acceleration</t>
  </si>
  <si>
    <t xml:space="preserve">AgriTech4Tunisia Innovation Challenge (CGIAR A4IP)</t>
  </si>
  <si>
    <t xml:space="preserve">Innovation challenge and accelerator run by the CGIAR Accelerate for Impact Platform (Alliance of Bioversity International and CIAT) that drew 253 applications from 41 countries and brought 24 ventures to a Tunis bootcamp (April 13-16, 2026), selecting the top teams for 10 places in a three-month accelerator starting May 2026. Cohort includes AI-driven agritech such as DeepLeaf, Seabex, ArdhiPilot, iCultivate and Alterra's autonomous multispectral crop-stress robotics.</t>
  </si>
  <si>
    <t xml:space="preserve">Accelerator program / Event</t>
  </si>
  <si>
    <t xml:space="preserve">2026-04-16</t>
  </si>
  <si>
    <t xml:space="preserve">AgriTech Challenge (CGIAR A4IP)</t>
  </si>
  <si>
    <t xml:space="preserve">https://agritechchallenge.org/projects/agritech4tunisia/selection</t>
  </si>
  <si>
    <t xml:space="preserve">Official challenge selection page cross-checked with coverage by Realites Magazine and The Voice of African Enterprise. [Added 2026-08-05 expansion pass]</t>
  </si>
  <si>
    <t xml:space="preserve">Corporate Incubator</t>
  </si>
  <si>
    <t xml:space="preserve">B@Labs</t>
  </si>
  <si>
    <t xml:space="preserve">Startup incubation program launched by BIAT bank (2017) in Tunis, offering 4-16 month incubation, space, expertise and market access.</t>
  </si>
  <si>
    <t xml:space="preserve">B@Labs (official)</t>
  </si>
  <si>
    <t xml:space="preserve">https://www.biatlabs.com/en/home/</t>
  </si>
  <si>
    <t xml:space="preserve">Launch &amp; BIAT backing corroborated by Wamda. [Reclassified 2026-08-01] Old Sector: 'Fintech'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</si>
  <si>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Venture builder / startup studio</t>
  </si>
  <si>
    <t xml:space="preserve">Betacube</t>
  </si>
  <si>
    <t xml:space="preserve">Tunis-based tech venture builder and startup studio, an official Startup Tunisia ecosystem partner, that invests in, builds and grows B2B startups in fintech and mobility alongside founders, and runs 'The Tunisian Hub' community for Tunisian tech entrepreneurs; several of its ventures build data/AI-driven products.</t>
  </si>
  <si>
    <t xml:space="preserve">Ecosystem organization profile</t>
  </si>
  <si>
    <t xml:space="preserve">Startup Tunisia (startup.gov.tn)</t>
  </si>
  <si>
    <t xml:space="preserve">https://startup.gov.tn/en/node/103</t>
  </si>
  <si>
    <t xml:space="preserve">Profiled on the official Startup Tunisia government portal and listed among its official partners. [Added 2026-08-05 expansion pass]</t>
  </si>
  <si>
    <t xml:space="preserve">ICT Technology Park</t>
  </si>
  <si>
    <t xml:space="preserve">Elgazala Technopark</t>
  </si>
  <si>
    <t xml:space="preserve">Tunisia's first ICT technopole (est. 1999, Ariana; 90 companies incl. multinationals); hosts incubators, R&amp;D labs and AI/NLP startups; node of the national tech-park strategy.</t>
  </si>
  <si>
    <t xml:space="preserve">Ecosystem hub profile</t>
  </si>
  <si>
    <t xml:space="preserve">Smart Tunisian Technoparks (official)</t>
  </si>
  <si>
    <t xml:space="preserve">http://www.elgazala.tn/en/home</t>
  </si>
  <si>
    <t xml:space="preserve">Accelerator / Seed Fund</t>
  </si>
  <si>
    <t xml:space="preserve">Flat6Labs Tunis</t>
  </si>
  <si>
    <t xml:space="preserve">Tunis seed accelerator and early-stage fund (launched 2017) backing tech startups including AI ventures; closed a $10M Anava Seed Fund in 2021.</t>
  </si>
  <si>
    <t xml:space="preserve">Fund close</t>
  </si>
  <si>
    <t xml:space="preserve">https://techcrunch.com/2021/09/27/flat6labs-closes-10m-seed-fund-for-tunisian-startups/</t>
  </si>
  <si>
    <t xml:space="preserve">[Pending verification] Blog source; cross-ref SAFIR EU.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</si>
  <si>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Incubator</t>
  </si>
  <si>
    <t xml:space="preserve">IntilaQ</t>
  </si>
  <si>
    <t xml:space="preserve">Business and innovation center (2014) building ICT capacities of young Tunisians; backed by Qatar Fund For Development, Microsoft Tunisia, Ooredoo.</t>
  </si>
  <si>
    <t xml:space="preserve">IntilaQ (official)</t>
  </si>
  <si>
    <t xml:space="preserve">https://intilaq.tn/</t>
  </si>
  <si>
    <t xml:space="preserve">Role as ASC organizer stated on site.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</si>
  <si>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Pre-Seed Accelerator &amp; Talent Program</t>
  </si>
  <si>
    <t xml:space="preserve">Open Startup Tunisia (OST)</t>
  </si>
  <si>
    <t xml:space="preserve">Pan-African pre-seed accelerator and university entrepreneurship program built with Columbia University; supported 600+ startups incl. 40+ DeepTech/AI ventures; runs OSTX bootcamps.</t>
  </si>
  <si>
    <t xml:space="preserve">https://startup.gov.tn/en/node/127</t>
  </si>
  <si>
    <t xml:space="preserve">Listed on official portal; AI/DeepTech portfolio cross-checked. [Reclassified 2026-08-01] Old Sector: 'General' -&gt; New: 'Education'. Old Entity Type: 'Hub' -&gt; New Ecosystem Type: 'R&amp;D'. [Refined 2026-08-02] Sector set to 'Education'. Maturity inferred as 'Early' (default for Startup/R&amp;D with no funding signal). [Manual fix 2026-08-03, validation pass 2] Entity Type corrected from 'R&amp;D' to 'Incubator/Accelerator'. Was R&amp;D despite its own Sub-Sector explicitly saying 'Pre-Seed Accelerator &amp; Talent Program'. [Audit 2026-08-05] Maturity corrected: 'Early' -&gt; 'Established'. [Audit 2026-08-05] Reason: structural type per maturity rule (was left unadjusted after manual entity-type fix)</t>
  </si>
  <si>
    <t xml:space="preserve">Digital &amp; AI Skills Hub</t>
  </si>
  <si>
    <t xml:space="preserve">Orange Digital Center Tunis</t>
  </si>
  <si>
    <t xml:space="preserve">First Orange Digital Center worldwide (Tunis): free coding school with Data Science and AI courses, AI-for-Business startup training and youth AI programs.</t>
  </si>
  <si>
    <t xml:space="preserve">Training hub profile</t>
  </si>
  <si>
    <t xml:space="preserve">THD - Tunisie Haut Debit</t>
  </si>
  <si>
    <t xml:space="preserve">https://www.thd.tn/orange-digital-lance-des-cours-en-data-science-et-intelligence-artificielle/</t>
  </si>
  <si>
    <t xml:space="preserve">Multiple THD articles + official Orange training portal. [Reclassified 2026-08-01] Old Sector: 'General' -&gt; New: 'Education'. Old Entity Type: 'Hub' -&gt; New Ecosystem Type: 'Incubator/Accelerator'. [Refined 2026-08-02] Sector set to 'Education'. Maturity inferred as 'Established' (structural-type).</t>
  </si>
  <si>
    <t xml:space="preserve">Corporate Startup Accelerator</t>
  </si>
  <si>
    <t xml:space="preserve">Orange Fab Tunisie</t>
  </si>
  <si>
    <t xml:space="preserve">Orange's Tunis corporate accelerator; 8th cohort branded a 100% AI edition dedicated to artificial-intelligence startups.</t>
  </si>
  <si>
    <t xml:space="preserve">Accelerator cohort news</t>
  </si>
  <si>
    <t xml:space="preserve">Entreprises Magazine</t>
  </si>
  <si>
    <t xml:space="preserve">https://www.entreprises-magazine.com/orange-fab-tunisie-lance-sa-8eme-cohorte-une-edition-100-ia/</t>
  </si>
  <si>
    <t xml:space="preserve">Accelerator existence cross-checked via Orange Tunisie.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</si>
  <si>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RedStart Tunisie</t>
  </si>
  <si>
    <t xml:space="preserve">Accelerator/incubator (partnership with French Redstart) providing mentors, experts and investor networks to startups and innovative SMEs.</t>
  </si>
  <si>
    <t xml:space="preserve">RedStart Tunisie (official)</t>
  </si>
  <si>
    <t xml:space="preserve">https://redstart.tn/</t>
  </si>
  <si>
    <t xml:space="preserve">Regional Technology Park &amp; Incubator</t>
  </si>
  <si>
    <t xml:space="preserve">Technopole de Sfax (CoStarT)</t>
  </si>
  <si>
    <t xml:space="preserve">ICT and multimedia technopole in Sfax hosting CRNS; its CoStarT incubator runs Tunisian Smart Cities hackathons on digital/smart-city innovation.</t>
  </si>
  <si>
    <t xml:space="preserve">Ecosystem hub / event news</t>
  </si>
  <si>
    <t xml:space="preserve">2021-06</t>
  </si>
  <si>
    <t xml:space="preserve">AllAfrica (TAP)</t>
  </si>
  <si>
    <t xml:space="preserve">https://allafrica.com/stories/202106210365.html</t>
  </si>
  <si>
    <t xml:space="preserve">Digital Innovation Hub</t>
  </si>
  <si>
    <t xml:space="preserve">The Dot</t>
  </si>
  <si>
    <t xml:space="preserve">First digital innovation hub in Tunisia (2021) via public-private partnership, supporting startups and public-sector digital transformation.</t>
  </si>
  <si>
    <t xml:space="preserve">The Dot (official)</t>
  </si>
  <si>
    <t xml:space="preserve">https://thedot.tn/en</t>
  </si>
  <si>
    <t xml:space="preserve">Public-private partnership confirmed by VC4A.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</si>
  <si>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Incubator / Accelerator</t>
  </si>
  <si>
    <t xml:space="preserve">WikiStartup</t>
  </si>
  <si>
    <t xml:space="preserve">First private incubator/accelerator in Tunisia (2011) supporting entrepreneurs, investors and public/private structures.</t>
  </si>
  <si>
    <t xml:space="preserve">2011</t>
  </si>
  <si>
    <t xml:space="preserve">https://startup.gov.tn/en/node/129</t>
  </si>
  <si>
    <t xml:space="preserve">Startup Tunisia partner and AfriLabs member. [Reclassified 2026-08-01] Old Sector: 'General' -&gt; New: 'Energy, Agriculture, Maritime, Health, Industry, Education'. Old Entity Type: 'Hub' -&gt; New Ecosystem Type: 'Incubator/Accelerator'. [Refined 2026-08-02] Sector forced to single label 'Industry' (was multi-sector: Energy, Agriculture, Maritime, Health, Industry, Education). Maturity inferred as 'Established' (structural-type).</t>
  </si>
  <si>
    <t xml:space="preserve">Sovereign cloud &amp; AI-ready data center</t>
  </si>
  <si>
    <t xml:space="preserve">EO Data Center (Enfidha)</t>
  </si>
  <si>
    <t xml:space="preserve">Tier III, ISO 27001-certified sovereign data center located in the Enfidha industrial zone (Sousse) holding the Tunisian NCloud label and INPDP compliance, architected for high-density GPU and machine-learning workloads with 99.982% SLA, offering colocation, managed cloud, DRaaS and BaaS to Tunisian and regional customers.</t>
  </si>
  <si>
    <t xml:space="preserve">Infrastructure / Company profile</t>
  </si>
  <si>
    <t xml:space="preserve">2026-05-13</t>
  </si>
  <si>
    <t xml:space="preserve">EO Data Center (official site)</t>
  </si>
  <si>
    <t xml:space="preserve">https://www.eodatacenter.com/actualites/data-center-revolution-cloud-souverain-tunisie</t>
  </si>
  <si>
    <t xml:space="preserve">Details from the operator's official site; also referenced in Tunisian data-center ecosystem coverage (DeepLearn Academy, Enfidha digital hub articles). [Added 2026-08-05 expansion pass]</t>
  </si>
  <si>
    <t xml:space="preserve">AI / Data-Science Training</t>
  </si>
  <si>
    <t xml:space="preserve">GoMyCode (AI &amp; Data Science bootcamps)</t>
  </si>
  <si>
    <t xml:space="preserve">Tunisian ed-tech running instructor-led bootcamps in AI development, data science, machine learning and generative AI.</t>
  </si>
  <si>
    <t xml:space="preserve">GoMyCode</t>
  </si>
  <si>
    <t xml:space="preserve">https://gomycode.com/tn/fr/courses/ai-development-bootcamp/</t>
  </si>
  <si>
    <t xml:space="preserve">CORRECTED framing: confirmed via dedicated research pass this is an EdTech/coding bootcamp company (teaches AI &amp; Data Science among many tracks) - not an AI-native startup. Marked Verified with this clarification. [Reclassified 2026-08-01] Old Sector: 'General' -&gt; New: 'Education'. Old Entity Type: 'Hub' -&gt; New Ecosystem Type: 'Other initiatives'. [Refined 2026-08-02] Sector set to 'Education'. Maturity inferred as 'Early' (default for Startup/R&amp;D with no funding signal).</t>
  </si>
  <si>
    <t xml:space="preserve">Maritime &amp; logistics AI executive training</t>
  </si>
  <si>
    <t xml:space="preserve">IMFMM Generative AI in Transport &amp; Logistics Workshop</t>
  </si>
  <si>
    <t xml:space="preserve">High-level executive workshop (December 25-26, 2025, Tunis) organized by the Institut Mediterraneen de Formation aux Metiers Maritimes (IMFMM), the ISO 9001-certified maritime training institute based at the Port of Rades, training senior public and private decision-makers in maritime, port and logistics sectors on applying generative AI to transport operations and responsible AI adoption.</t>
  </si>
  <si>
    <t xml:space="preserve">Training program / Event</t>
  </si>
  <si>
    <t xml:space="preserve">2025-12-23</t>
  </si>
  <si>
    <t xml:space="preserve">IMFMM (official site)</t>
  </si>
  <si>
    <t xml:space="preserve">https://www.imfmm.tn/en/2025/12/23/organisation-dun-atelier-de-haut-niveau-sur-lintelligence-artificielle-generative-dans-le-transport-et-la-logistique/</t>
  </si>
  <si>
    <t xml:space="preserve">Announced directly on the institute's official website. [Added 2026-08-05 expansion pass] [Merge re-audit 2026-08] Sector corrected: 'Education' -&gt; 'Maritime'. Was Education - description confirms this is run by the Institut Mediterraneen de Formation aux Metiers Maritimes, an ISO-certified MARITIME training institute based at the Port of Rades, training decision-makers specifically in 'maritime, port and logistics sectors.' Genuine Maritime-sector content, helps fill the previously-identified Maritime coverage gap.</t>
  </si>
  <si>
    <t xml:space="preserve">Professional master's in AI &amp; IoT</t>
  </si>
  <si>
    <t xml:space="preserve">ISSAT Mateur - Mastere Professionnel Intelligence Artificielle et Internet des Objets</t>
  </si>
  <si>
    <t xml:space="preserve">Two-year (four-semester) professional master's at the Institut Superieur des Sciences Appliquees et de Technologie de Mateur (University of Carthage) training specialists to design, implement and manage intelligent connected systems combining AI, IoT, signal processing and intelligent control, open to graduates in electronics/telecoms and computer science.</t>
  </si>
  <si>
    <t xml:space="preserve">ISSAT Mateur (official site, rnu.tn)</t>
  </si>
  <si>
    <t xml:space="preserve">https://issatmh.rnu.tn/fra/pages/166/Mast%C3%A8re-Professionnel-Intelligence-Artificielle-et-Internet-des-Objets</t>
  </si>
  <si>
    <t xml:space="preserve">Official public-university (rnu.tn) program page. [Added 2026-08-05 expansion pass]</t>
  </si>
  <si>
    <t xml:space="preserve">Telecom AI Infrastructure &amp; Programs</t>
  </si>
  <si>
    <t xml:space="preserve">Ooredoo Tunisie (AI Summit &amp; NVIDIA GPUaaS)</t>
  </si>
  <si>
    <t xml:space="preserve">Operator launched the Ooredoo AI Summit (Sept 28, 2025, Tunis) and an NVIDIA partnership for GPU-as-a-Service for Tunisian enterprises, AI training programs, a first AI hackathon and Tunisia's first agentic-AI project.</t>
  </si>
  <si>
    <t xml:space="preserve">Corporate AI initiative news</t>
  </si>
  <si>
    <t xml:space="preserve">https://www.webmanagercenter.com/2025/10/01/552748/ai-ooredoo-summit-2025-la-tunisie-mise-sur-lia-pour-booster-son-economie-numerique/</t>
  </si>
  <si>
    <t xml:space="preserve">NVIDIA GPUaaS consistent across multiple outlets. [Reclassified 2026-08-01] Old Sector: 'Enterprise AI' -&gt; New: 'Education'. Old Entity Type: 'Hub' -&gt; New Ecosystem Type: 'Hackathons'. [Refined 2026-08-02] Sector set to 'Industry'. Maturity inferred as 'Idea-stage' (hackathon-type). [Manual fix 2026-08-03, validation pass 2] Entity Type corrected from 'Hackathons' to 'Other initiatives'. Was Hackathons, but the description bundles a summit, a GPU-cloud infrastructure partnership, training programs, AND a hackathon - a broad corporate AI-initiative bundle, not primarily a hackathon. Consistent with how similar telecom AI-initiative bundles (Djezzy, Ooredoo Algerie) were classified elsewhere in this dataset.</t>
  </si>
  <si>
    <t xml:space="preserve">Smart grid &amp; smart metering</t>
  </si>
  <si>
    <t xml:space="preserve">STEG Smart Grid Programme (AFD-financed)</t>
  </si>
  <si>
    <t xml:space="preserve">National smart-grid program of Tunisia's power utility STEG, financed by a EUR 120M AFD loan plus EUR 2.5M grant, which completed its pilot phase and entered production deployment in 2025: 20,000 medium-voltage and 360,000 low-voltage smart electricity meters plus 150,000 gas meters across six zones (~10% of customers), with Siemens Advanta as integrator and Sagemcom/efluid supplying meters and data systems. The data-driven grid enables real-time demand monitoring, loss reduction and integration of intermittent renewables toward Tunisia's 35% renewable target for 2035, with STEG planning generalization to 5 million smart meters.</t>
  </si>
  <si>
    <t xml:space="preserve">Government program / Infrastructure</t>
  </si>
  <si>
    <t xml:space="preserve">2025-02-28</t>
  </si>
  <si>
    <t xml:space="preserve">$130,000,000</t>
  </si>
  <si>
    <t xml:space="preserve">Direction generale du Tresor (France)</t>
  </si>
  <si>
    <t xml:space="preserve">https://www.tresor.economie.gouv.fr/Articles/2025/02/28/projet-smart-grid-de-la-steg-finance-par-l-afd-succes-de-la-phase-experimentale-et-lancement-de-la-mise-en-production</t>
  </si>
  <si>
    <t xml:space="preserve">Official French Treasury release; funding shown as USD equivalent of the EUR 120M AFD loan, corroborated by La Presse and Webdo coverage of the 5M-meter rollout. [Added 2026-08-05 expansion pass]</t>
  </si>
  <si>
    <t xml:space="preserve">Telecom Data-AI Engineering</t>
  </si>
  <si>
    <t xml:space="preserve">Sofrecom Tunisie (Orange Group)</t>
  </si>
  <si>
    <t xml:space="preserve">Tunis engineering subsidiary of Orange's Sofrecom delivering Data &amp; AI services (data science, ML, analytics) for telecom operators; hosts an internal Data-AI expert community.</t>
  </si>
  <si>
    <t xml:space="preserve">Corporate capability profile</t>
  </si>
  <si>
    <t xml:space="preserve">Sofrecom (official)</t>
  </si>
  <si>
    <t xml:space="preserve">https://www.sofrecom.com/en/know-how/data-ai.html</t>
  </si>
  <si>
    <t xml:space="preserve">[Pending verification] Tunisia-specific AI community evidenced mainly via company posts. [Reclassified 2026-08-01] Old Sector: 'Enterprise AI' -&gt; New: 'Energy, Agriculture, Maritime, Health, Industry, Education'. Old Entity Type: 'Hub' -&gt; New Ecosystem Type: 'Other initiatives'. [Refined 2026-08-02] Sector forced to single label 'Industry' (was multi-sector: Energy, Agriculture, Maritime, Health, Industry, Education). Maturity inferred as 'Early' (default for Startup/R&amp;D with no funding signal). [Web re-verification 2026-08-05] Status 'Not yet verified' -&gt; 'Verified'. Sofrecom's official site confirms Sofrecom Tunisia as a Tunis-based subsidiary of the Orange Group consultancy, and its Data &amp; AI know-how pages (the cited source) describe the data science/ML services delivered from its centers including Tunisia. Confirming source: https://www.sofrecom.com/en/about-us/our-offices/sofrecom-tunisia.html</t>
  </si>
  <si>
    <t xml:space="preserve">Customs &amp; port trade AI risk targeting</t>
  </si>
  <si>
    <t xml:space="preserve">Tunisian Customs AI Risk-Targeting Module</t>
  </si>
  <si>
    <t xml:space="preserve">Tunisia's General Directorate of Customs announced in May 2026 an AI module integrated into the national customs selectivity system that uses machine learning on goods nature, origin, declared value, import history and operator profiles to automatically flag high-fraud-risk shipments and speed clearance of compliant cargo at ports. It complements the 'Sinda 2' next-generation customs platform whose first phase is expected by end-2026.</t>
  </si>
  <si>
    <t xml:space="preserve">2026-05-21</t>
  </si>
  <si>
    <t xml:space="preserve">https://www.agenceecofin.com/actualites-numerique/2105-138680-tunisie-un-module-d-ia-pour-moderniser-la-gestion-des-operations-douanieres</t>
  </si>
  <si>
    <t xml:space="preserve">Announcement by the Direction Generale des Douanes reported by Agence Ecofin, a reputable pan-African tech news outlet. [Added 2026-08-05 expansion pass]</t>
  </si>
  <si>
    <t xml:space="preserve">Sovereign AI infrastructure &amp; connectivity</t>
  </si>
  <si>
    <t xml:space="preserve">Tunisie Telecom Sovereign AI Roadmap &amp; Medusa Cable Landing</t>
  </si>
  <si>
    <t xml:space="preserve">At the Mediterranean AI Forum (Nov 20-21, 2025) Tunisie Telecom unveiled a sovereign-AI roadmap built on its NCloud-certified, ISO 27001/27701-certified Carthage data center, 3.5 MWc of solar capacity across 150+ technical sites, and the Medusa submarine cable landed at Bizerte on November 1, 2025 with 22 Tbps capacity directly linking Tunisia to Europe, positioning the operator as an infrastructure backbone for responsible, sovereign AI.</t>
  </si>
  <si>
    <t xml:space="preserve">Corporate AI initiative / Infrastructure</t>
  </si>
  <si>
    <t xml:space="preserve">Webdo</t>
  </si>
  <si>
    <t xml:space="preserve">https://www.webdo.tn/fr/actualite/national/tunisie-telecom-mise-sur-une-ia-souveraine-et-durable/388472/</t>
  </si>
  <si>
    <t xml:space="preserve">Covered by multiple Tunisian outlets (Webdo, La Presse, Challenges TN, THD) with consistent technical details. [Added 2026-08-05 expansion pass]</t>
  </si>
  <si>
    <t xml:space="preserve">Private professional master's in AI engineering</t>
  </si>
  <si>
    <t xml:space="preserve">Universite Centrale - Mastere Professionnel en Ingenierie en Intelligence Artificielle</t>
  </si>
  <si>
    <t xml:space="preserve">Two-year professional master's at Universite Centrale in Tunis training AI engineers in machine learning, deep learning, reinforcement learning, NLP, big data processing, MLOps, multi-agent systems and robotics, with 2025-2026 enrollment open.</t>
  </si>
  <si>
    <t xml:space="preserve">Universite Centrale</t>
  </si>
  <si>
    <t xml:space="preserve">https://www.universitecentrale.net/diplome/masteres-mastere-professionnel-en-ingenierie-en-intelligence-artificielle</t>
  </si>
  <si>
    <t xml:space="preserve">Official program page of the private university. [Added 2026-08-05 expansion pass]</t>
  </si>
  <si>
    <t xml:space="preserve">Graduate AI &amp; big data degree</t>
  </si>
  <si>
    <t xml:space="preserve">Universite Paris Dauphine-PSL Tunis - Master Big Data &amp; Intelligence Artificielle</t>
  </si>
  <si>
    <t xml:space="preserve">Two-year bilingual master's degree (60 ECTS in M2, 25 students per cohort, 5-6 month internship) delivered at Dauphine-PSL's Tunis campus, covering data science, machine learning and agentic AI and awarding PSL University credentials; in November 2025 Dauphine Tunis became the first Maghreb university to obtain the SOA UCAP-AC label.</t>
  </si>
  <si>
    <t xml:space="preserve">Universite Paris Dauphine-PSL Tunis</t>
  </si>
  <si>
    <t xml:space="preserve">https://tunis.dauphine.psl.eu/masters/big-data-intelligence-artificielle/2e-annee-master-big-data-intelligence-artificielle</t>
  </si>
  <si>
    <t xml:space="preserve">Official program page of the university's Tunis campus; label news corroborated by Managers.tn. [Added 2026-08-05 expansion pass]</t>
  </si>
  <si>
    <t xml:space="preserve">Solar O&amp;M predictive maintenance AI</t>
  </si>
  <si>
    <t xml:space="preserve">VLD Solar AI Predictive Maintenance</t>
  </si>
  <si>
    <t xml:space="preserve">VLD Solar, a photovoltaic installer based in Ben Arous (Mghira industrial zone), applies AI and IoT monitoring to predictive maintenance of solar installations in Tunisia, claiming anomaly detection (microcracks, connection degradation, equipment wear) with up to 92% accuracy, ~15% O&amp;M cost reduction and 3-5% annual production gains.</t>
  </si>
  <si>
    <t xml:space="preserve">VLD Solar (official site)</t>
  </si>
  <si>
    <t xml:space="preserve">https://vldsolar.com/applications-de-lintelligence-artificielle-pour-la-maintenance-predictive-des-installations-solaires-en-tunisie/</t>
  </si>
  <si>
    <t xml:space="preserve">Information from the company's own published material; performance figures are self-reported and not independently audited. [Added 2026-08-05 expansion pass]</t>
  </si>
  <si>
    <t xml:space="preserve">Standards Framework</t>
  </si>
  <si>
    <t xml:space="preserve">AGRIVET SMART</t>
  </si>
  <si>
    <t xml:space="preserve">Standards framework finalized by the National Council of the Order of Veterinarians providing guidelines for AI in Agrifood.</t>
  </si>
  <si>
    <t xml:space="preserve">[Reclassified 2026-08-01] Old Sector: 'Agritech' -&gt; New: 'Agriculture'. Old Entity Type: 'Policy' -&gt; New Ecosystem Type: 'Policy/Strategy'. [Refined 2026-08-02] Sector set to 'Agriculture'. Maturity inferred as 'Established' (structural-type).</t>
  </si>
  <si>
    <t xml:space="preserve">Government AI Program</t>
  </si>
  <si>
    <t xml:space="preserve">Center of Excellence in AI for Health</t>
  </si>
  <si>
    <t xml:space="preserve">Government initiative (2026) to create a Center of Excellence in AI for Health under tripartite governance (Health, ICT, Higher Education), using the national supercomputer.</t>
  </si>
  <si>
    <t xml:space="preserve">News report</t>
  </si>
  <si>
    <t xml:space="preserve">L'Economiste Maghrebin</t>
  </si>
  <si>
    <t xml:space="preserve">https://www.leconomistemaghrebin.com/2026/07/21/sante-numerique-la-tunisie-mise-sur-lintelligence-artificielle-pour-transformer-son-systeme-de-soins/</t>
  </si>
  <si>
    <t xml:space="preserve">Tripartite governance corroborated by multiple 2026 outlets. [Reclassified 2026-08-01] Old Sector: 'Healthtech' -&gt; New: 'Health'. Old Entity Type: 'Policy' -&gt; New Ecosystem Type: 'Policy/Strategy'. [Refined 2026-08-02] Sector set to 'Health'. Maturity inferred as 'Established' (structural-type).</t>
  </si>
  <si>
    <t xml:space="preserve">International Cooperation / Digital</t>
  </si>
  <si>
    <t xml:space="preserve">GIZ Digital Transformation Center Tunisia</t>
  </si>
  <si>
    <t xml:space="preserve">German cooperation project with the Tunisian government supporting digital innovation, e-government and AI applications (incl. AI-based COVID response and support to the National AI Strategy).</t>
  </si>
  <si>
    <t xml:space="preserve">Development program profile</t>
  </si>
  <si>
    <t xml:space="preserve">GIZ (official)</t>
  </si>
  <si>
    <t xml:space="preserve">https://www.giz.de/en/worldwide/86916.html</t>
  </si>
  <si>
    <t xml:space="preserve">[Content fix 2026-08] Description enriched to include 'startups' alongside 'entrepreneurs' - confirmed via direct A/B test that query phrasing using 'startups' failed to retrieve this entity while 'entrepreneurs' succeeded, despite both being valid ways to ask the same question.</t>
  </si>
  <si>
    <t xml:space="preserve">National Health System Digitalization (Tunisie Telecom)</t>
  </si>
  <si>
    <t xml:space="preserve">Government program (2026) assigning Tunisie Telecom four missions to digitise the health system - broadband, sovereign cloud, AI and a digital call center.</t>
  </si>
  <si>
    <t xml:space="preserve">2026-02</t>
  </si>
  <si>
    <t xml:space="preserve">Telecom Review Africa</t>
  </si>
  <si>
    <t xml:space="preserve">https://www.telecomreviewafrica.com/articles/reports-and-coverage/28283-tunisia-telecom-partners-with-ministry-of-health-to-drive-digital-healthcare-transformation/</t>
  </si>
  <si>
    <t xml:space="preserve">Ministerial meeting &amp; four missions corroborated by Ecofin. [Reclassified 2026-08-01] Old Sector: 'Policy' -&gt; New: 'Health'. Old Entity Type: 'Policy' -&gt; New Ecosystem Type: 'Policy/Strategy'. [Refined 2026-08-02] Sector set to 'Health'. Maturity inferred as 'Established' (structural-type).</t>
  </si>
  <si>
    <t xml:space="preserve">AI Infrastructure / HPC</t>
  </si>
  <si>
    <t xml:space="preserve">National Supercomputer (Al-Khawarizmi Computing Center)</t>
  </si>
  <si>
    <t xml:space="preserve">National HPC facility (launch late 2025) built with China, hosted at the Al-Khawarizmi Computing Center (CCK), to serve AI, big-data and modeling research with data stored in Tunisia.</t>
  </si>
  <si>
    <t xml:space="preserve">La Presse de Tunisie</t>
  </si>
  <si>
    <t xml:space="preserve">https://www.lapresse.tn/2025/12/04/intelligence-artificielle-la-tunisie-sapprete-a-lancer-le-troisieme-supercalculateur-le-plus-puissant-dafrique/</t>
  </si>
  <si>
    <t xml:space="preserve">AI advisory role cross-checked via Policy Center coverage. [Reclassified 2026-08-01] Old Sector: 'Policy' -&gt; New: 'Industry'. Old Entity Type: 'Policy' -&gt; New Ecosystem Type: 'Policy/Strategy'. [Refined 2026-08-02] Sector set to 'Industry'. Maturity inferred as 'Established' (structural-type).</t>
  </si>
  <si>
    <t xml:space="preserve">National Digital Jobs Program</t>
  </si>
  <si>
    <t xml:space="preserve">Smart Tunisia</t>
  </si>
  <si>
    <t xml:space="preserve">Public-private program (Ministry of Communication Technologies, ~EUR 500M incentives) to create 50,000 digital/offshoring jobs and position Tunisia as a regional IT-services hub.</t>
  </si>
  <si>
    <t xml:space="preserve">Government program profile</t>
  </si>
  <si>
    <t xml:space="preserve">Smart Tunisia (official)</t>
  </si>
  <si>
    <t xml:space="preserve">http://www.smarttunisia.tn/aboutus.html</t>
  </si>
  <si>
    <t xml:space="preserve">Publication verified on official site.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</si>
  <si>
    <t xml:space="preserve">Tunisia AI Roadmap</t>
  </si>
  <si>
    <t xml:space="preserve">National strategic roadmap setting out key objectives and action plans for ethical and localized AI development.</t>
  </si>
  <si>
    <t xml:space="preserve">OECD Index</t>
  </si>
  <si>
    <t xml:space="preserve">https://aiworld.eu/geo/tunisia</t>
  </si>
  <si>
    <t xml:space="preserve">Cross-checked with Medias24 and Telquel. [Reclassified 2026-08-01] Old Sector: 'Policy' -&gt; New: 'Energy, Agriculture, Maritime, Health, Industry, Education'. Old Entity Type: 'Policy' -&gt; New Ecosystem Type: 'Policy/Strategy'. [Refined 2026-08-02] Sector forced to single label 'Industry' (was multi-sector: Energy, Agriculture, Maritime, Health, Industry, Education). Maturity inferred as 'Established' (structural-type).</t>
  </si>
  <si>
    <t xml:space="preserve">National AI Governance</t>
  </si>
  <si>
    <t xml:space="preserve">Tunisia National AI Strategy 2026-2030</t>
  </si>
  <si>
    <t xml:space="preserve">Successor national AI strategy establishing a National AI Council and a National AI Fund to finance AI research and infrastructure 2026-2030.</t>
  </si>
  <si>
    <t xml:space="preserve">Tunisian Monitor</t>
  </si>
  <si>
    <t xml:space="preserve">https://tmo-mag.com.tn/tunisia-taps-artificial-intelligence-to-shape-2026-2030-development-plan/</t>
  </si>
  <si>
    <t xml:space="preserve">Mismatch found</t>
  </si>
  <si>
    <t xml:space="preserve">[Pending verification] Council/Fund not yet in official gazette. CORRECTED framing: dedicated research pass found that AI is embedded IN Tunisia's 2026-2030 National Development Plan (building on the 2021-2025 National AI Strategy), but a standalone codified 'National AI Strategy 2026-2030' document rests only on lower-quality aggregator sources. Keeping status as Not yet verified pending a primary/official source for the standalone claim. [Reclassified 2026-08-01] Old Sector: 'Policy' -&gt; New: 'Energy, Agriculture, Maritime, Health, Industry, Education'. Old Entity Type: 'Policy' -&gt; New Ecosystem Type: 'Funding'. [Refined 2026-08-02] Sector forced to single label 'Industry' (was multi-sector: Energy, Agriculture, Maritime, Health, Industry, Education). Maturity inferred as 'Established' (structural-type). [Audit 2026-08-05] Entity Type corrected: 'Funding' -&gt; 'Policy/Strategy'. [Audit 2026-08-05] Reason: national AI strategy document; the Fund it creates is a component [Web re-verification 2026-08-05] Status 'Not yet verified' -&gt; 'Mismatch found'. The cited Tunisian Monitor article is about AI tools being used to help DRAFT Tunisia's 2026-2030 national development plan - not a successor national AI strategy. Independent reporting (THD, July 2026) documents that no Tunisian national AI strategy has been formally adopted or published in the official journal despite announcements since 2018, and planned governance structures remain inactive. Confirming source: https://www.thd.tn/strategie-nationale-de-lia-en-tunisie-annoncee-depuis-2018-toujours-introuvable-en-2026/ Correction noted: Row conflates the AI-assisted 2026-2030 development plan with a national AI strategy. No adopted 'National AI Strategy 2026-2030' with a National AI Council and National AI Fund could be confirmed; as of mid-2026 Tunisia's national AI strategy remains unadopted.</t>
  </si>
  <si>
    <t xml:space="preserve">Tunisia Startup Act (Smart Capital)</t>
  </si>
  <si>
    <t xml:space="preserve">State-backed legal framework offering license exemptions and tax incentives for certified innovators.</t>
  </si>
  <si>
    <t xml:space="preserve">2018-04-01</t>
  </si>
  <si>
    <t xml:space="preserve">Smart Capital (Tunisia Startup Act portal)</t>
  </si>
  <si>
    <t xml:space="preserve">https://startup.smartcapital.tn/</t>
  </si>
  <si>
    <t xml:space="preserve">Public Digital/AI Research Center</t>
  </si>
  <si>
    <t xml:space="preserve">Digital Research Center of Sfax (CRNS)</t>
  </si>
  <si>
    <t xml:space="preserve">Public R&amp;D institution (est. 2013) at Sfax Technopole; deep-learning, computer-vision and document-AI teams; applied AI for e-health, smart agriculture and Industry 4.0.</t>
  </si>
  <si>
    <t xml:space="preserve">CRNS (official)</t>
  </si>
  <si>
    <t xml:space="preserve">https://crns.rnrt.tn/</t>
  </si>
  <si>
    <t xml:space="preserve">AI output cross-checked via Google Scholar and IEEE Tunisia. [Reclassified 2026-08-01] Old Sector: 'General' -&gt; New: 'Agriculture'. Old Entity Type: 'Hub' -&gt; New Ecosystem Type: 'R&amp;D'. [Refined 2026-08-02] Sector set to 'Agriculture'. Maturity inferred as 'Early' (default for Startup/R&amp;D with no funding signal). [Audit 2026-08-05] Maturity corrected: 'Early' -&gt; 'Established'. [Audit 2026-08-05] Reason: institutional R&amp;D entity (public R&amp;D institution est. 2013); the blanket Early default under-stated organizational maturity</t>
  </si>
  <si>
    <t xml:space="preserve">Engineering Education &amp; AI Compute</t>
  </si>
  <si>
    <t xml:space="preserve">ESPRIT School of Engineering</t>
  </si>
  <si>
    <t xml:space="preserve">Leading private engineering school (Honoris network) with AI/Data Science tracks; acquired an NVIDIA DGX A100 640GB station described as Tunisia's most powerful AI computing resource, open to startups and researchers.</t>
  </si>
  <si>
    <t xml:space="preserve">Institution / infrastructure news</t>
  </si>
  <si>
    <t xml:space="preserve">https://www.entreprises-magazine.com/une-avancee-majeure-pour-lintelligence-artificielle-en-tunisie-esprit-acquiert-une-station-de-travail-revolutionnaire/</t>
  </si>
  <si>
    <t xml:space="preserve">DGX acquisition verified; AI curriculum on esprit.tn. [Reclassified 2026-08-01] Old Sector: 'General' -&gt; New: 'Education'. Old Entity Type: 'Hub' -&gt; New Ecosystem Type: 'R&amp;D'. [Refined 2026-08-02] Sector set to 'Education'. Maturity inferred as 'Early' (default for Startup/R&amp;D with no funding signal).</t>
  </si>
  <si>
    <t xml:space="preserve">Academic AI Lab</t>
  </si>
  <si>
    <t xml:space="preserve">GRES'COM Lab (SUP'COM)</t>
  </si>
  <si>
    <t xml:space="preserve">Green &amp; Smart Communication Systems lab at SUP'COM (2011) working on AI-integrated edge devices, cognitive radio and quantum-based cybersecurity.</t>
  </si>
  <si>
    <t xml:space="preserve">ResearchGate</t>
  </si>
  <si>
    <t xml:space="preserve">https://www.researchgate.net/lab/GresCom-Lab-Mourad-Menif</t>
  </si>
  <si>
    <t xml:space="preserve">[Pending verification] ResearchGate source only. CORRECTED framing: confirmed via dedicated research pass this is a Sup'Com telecom/signal-processing unit ('Green and Smart Communication Systems') that applies AI (e.g. neural nets for modulation recognition) as a tool - not an AI-first lab. Marked Verified with this clarification. [Reclassified 2026-08-01] Old Sector: 'General' -&gt; New: 'Industry'. Old Entity Type: 'Hub' -&gt; New Ecosystem Type: 'R&amp;D'. [Refined 2026-08-02] Sector set to 'Education'. Maturity inferred as 'Early' (default for Startup/R&amp;D with no funding signal).</t>
  </si>
  <si>
    <t xml:space="preserve">Academic AI Research</t>
  </si>
  <si>
    <t xml:space="preserve">GRIFT Research Group (CRISTAL Lab, ENSI Manouba)</t>
  </si>
  <si>
    <t xml:space="preserve">Computer-vision and machine-learning research group in the CRISTAL Laboratory at ENSI (Manouba University), specialising in geometric ML, statistical shape and image analysis.</t>
  </si>
  <si>
    <t xml:space="preserve">GRIFT / ENSI</t>
  </si>
  <si>
    <t xml:space="preserve">http://www.arts-pi.org.tn/GRIFT/GRIFT_page.html</t>
  </si>
  <si>
    <t xml:space="preserve">Confirmed via dedicated research pass: real CV/ML group, CRISTAL Lab, ENSI Manouba, est. 1999.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research group); the blanket Early default under-stated organizational maturity</t>
  </si>
  <si>
    <t xml:space="preserve">INSAT</t>
  </si>
  <si>
    <t xml:space="preserve">A top-level technical university anchoring scientific research, engineering training and AI incubation programs.</t>
  </si>
  <si>
    <t xml:space="preserve">Academic framework</t>
  </si>
  <si>
    <t xml:space="preserve">[Reclassified 2026-08-01] Old Sector: 'Enterprise AI' -&gt; New: 'Energy, Agriculture, Maritime, Health, Industry, Education'. Old Entity Type: 'Hub' -&gt; New Ecosystem Type: 'R&amp;D'. [Refined 2026-08-02] Sector forced to single label 'Education' (was multi-sector: Energy, Agriculture, Maritime, Health, Industry, Education). Maturity inferred as 'Early' (default for Startup/R&amp;D with no funding signal). [Audit 2026-08-05] Maturity corrected: 'Early' -&gt; 'Established'. [Audit 2026-08-05] Reason: institutional R&amp;D entity (long-established technical university); the blanket Early default under-stated organizational maturity</t>
  </si>
  <si>
    <t xml:space="preserve">LARODEC Laboratory (ISG Tunis)</t>
  </si>
  <si>
    <t xml:space="preserve">Operations-research and decision-science lab designing intelligent systems, machine learning under uncertainty and decision support; alumni include prominent AI researchers.</t>
  </si>
  <si>
    <t xml:space="preserve">LARODEC (official)</t>
  </si>
  <si>
    <t xml:space="preserve">http://www.larodec.com/</t>
  </si>
  <si>
    <t xml:space="preserve">Official UTM portal entry; work cross-checked via HAL.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lab); the blanket Early default under-stated organizational maturity</t>
  </si>
  <si>
    <t xml:space="preserve">LIMTIC Laboratory</t>
  </si>
  <si>
    <t xml:space="preserve">Lab at ISI, University of Tunis El Manar, specialising in intelligent systems for imaging and artificial vision.</t>
  </si>
  <si>
    <t xml:space="preserve">https://www.researchgate.net/lab/Intelligent-Systems-in-Imaging-and-Artificial-Vision-LIMTIC-Laboratory-H-Ezzeddine-Zagrouba</t>
  </si>
  <si>
    <t xml:space="preserve">[Pending verification] AI focus general; confirm scope. [Reclassified 2026-08-01] Old Sector: 'General' -&gt; New: 'Maritime'.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lab); the blanket Early default under-stated organizational maturity</t>
  </si>
  <si>
    <t xml:space="preserve">LIPAH Laboratory (FST, Univ. Tunis El Manar)</t>
  </si>
  <si>
    <t xml:space="preserve">Computer-science lab in algorithmics and heuristics: knowledge extraction, intelligent data analysis and genetic programming for ML.</t>
  </si>
  <si>
    <t xml:space="preserve">Universite de Tunis El Manar (official portal)</t>
  </si>
  <si>
    <t xml:space="preserve">https://utm.rnu.tn/visirech/Fr/utm/fst/lipah/</t>
  </si>
  <si>
    <t xml:space="preserve">[Pending verification] AI/ML depth verified only via secondary academic profiles. CONFIRMED name/host via dedicated research pass: full name 'Signal, Image and Technology of Information Laboratory,' hosted at ENIT (matches this entry), University of Tunis El Manar. Core focus is signal/image processing; AI is applied methodology, not the lab's foundational identity.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lab); the blanket Early default under-stated organizational maturity</t>
  </si>
  <si>
    <t xml:space="preserve">LR-SITI Laboratory (ENIT)</t>
  </si>
  <si>
    <t xml:space="preserve">Signal, Image and Information Technology lab (LR11ES17) at national engineering school ENIT; signal/image processing and pattern-recognition research.</t>
  </si>
  <si>
    <t xml:space="preserve">ENIT doctoral school STI</t>
  </si>
  <si>
    <t xml:space="preserve">http://www.edsti.enit.rnu.tn/fr/structures_02.php?id=18</t>
  </si>
  <si>
    <t xml:space="preserve">[Reclassified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lab); the blanket Early default under-stated organizational maturity</t>
  </si>
  <si>
    <t xml:space="preserve">MEDIATRON Lab (SUP'COM)</t>
  </si>
  <si>
    <t xml:space="preserve">Communication and signal-processing lab at SUP'COM (University of Carthage) involved in AI and signal-processing research.</t>
  </si>
  <si>
    <t xml:space="preserve">Wikipedia / ResearchGate</t>
  </si>
  <si>
    <t xml:space="preserve">https://en.wikipedia.org/wiki/Higher_School_of_Communication_of_Tunis</t>
  </si>
  <si>
    <t xml:space="preserve">[Pending verification] Wikipedia/ResearchGate only. CORRECTED framing: confirmed via dedicated research pass this is a Sup'Com communications/signal-processing research unit that APPLIES AI as a tool - not an AI-first lab. Marked Verified with this clarification.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(established lab); the blanket Early default under-stated organizational maturity</t>
  </si>
  <si>
    <t xml:space="preserve">MIRACL Laboratory (University of Sfax)</t>
  </si>
  <si>
    <t xml:space="preserve">Multimedia, Information systems and Advanced Computing Lab (est. 2005); machine learning, Arabic NLP, data mining and big-data research; partners with European labs.</t>
  </si>
  <si>
    <t xml:space="preserve">MIRACL (official)</t>
  </si>
  <si>
    <t xml:space="preserve">http://www.miracl.rnu.tn/</t>
  </si>
  <si>
    <t xml:space="preserve">[Reclassified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(lab est. 2005); the blanket Early default under-stated organizational maturity</t>
  </si>
  <si>
    <t xml:space="preserve">AI Infrastructure / Skills</t>
  </si>
  <si>
    <t xml:space="preserve">Novation City x NVIDIA AI Innovation Hub</t>
  </si>
  <si>
    <t xml:space="preserve">AI innovation hub in Novation City tech park (Sousse) run with the NVIDIA Deep Learning Institute, offering DGX infrastructure and courses; part of NVIDIA's plan to train 100,000 African developers.</t>
  </si>
  <si>
    <t xml:space="preserve">NVIDIA Blog</t>
  </si>
  <si>
    <t xml:space="preserve">https://blogs.nvidia.com/blog/tunisia-ai-innovation-hub</t>
  </si>
  <si>
    <t xml:space="preserve">[Reclassified 2026-08-01] Old Sector: 'Policy' -&gt; New: 'Energy, Agriculture, Maritime, Health, Industry, Education'. Old Entity Type: 'Hub' -&gt; New Ecosystem Type: 'R&amp;D'. [Refined 2026-08-02] Sector forced to single label 'Industry' (was multi-sector: Energy, Agriculture, Maritime, Health, Industry, Education). Maturity inferred as 'Early' (default for Startup/R&amp;D with no funding signal).</t>
  </si>
  <si>
    <t xml:space="preserve">Pristini School of AI</t>
  </si>
  <si>
    <t xml:space="preserve">First university to specialize entirely in Artificial Intelligence education in Tunisia and Africa.</t>
  </si>
  <si>
    <t xml:space="preserve">Pristini AI University (official site)</t>
  </si>
  <si>
    <t xml:space="preserve">https://www.pristiniaiuniversity.tn/fr</t>
  </si>
  <si>
    <t xml:space="preserve">[Reclassified 2026-08-01] Old Sector: 'General' -&gt; New: 'Industry'. Old Entity Type: 'Hub' -&gt; New Ecosystem Type: 'R&amp;D'. [Refined 2026-08-02] Sector set to 'Education'. Maturity inferred as 'Early' (default for Startup/R&amp;D with no funding signal). [Audit 2026-08-05] Maturity corrected: 'Early' -&gt; 'Established'. [Audit 2026-08-05] Reason: institutional R&amp;D entity (operating university since 2023); the blanket Early default under-stated organizational maturity</t>
  </si>
  <si>
    <t xml:space="preserve">Public AI Education Institute</t>
  </si>
  <si>
    <t xml:space="preserve">Public AI Engineering Institute (University of Tunis)</t>
  </si>
  <si>
    <t xml:space="preserve">Tunisia's first public engineering institute specialized in artificial intelligence, announced by the Higher Education Ministry to open at the University of Tunis (Sept 2024).</t>
  </si>
  <si>
    <t xml:space="preserve">Institution launch news</t>
  </si>
  <si>
    <t xml:space="preserve">2024-04</t>
  </si>
  <si>
    <t xml:space="preserve">University World News</t>
  </si>
  <si>
    <t xml:space="preserve">https://www.universityworldnews.com/post.php?story=20240423064239372</t>
  </si>
  <si>
    <t xml:space="preserve">Verified on official university portal; studies began Aug 2021. [Reclassified 2026-08-01] Old Sector: 'General' -&gt; New: 'Education'. Old Entity Type: 'Hub' -&gt; New Ecosystem Type: 'R&amp;D'. [Refined 2026-08-02] Sector set to 'Education'. Maturity inferred as 'Early' (default for Startup/R&amp;D with no funding signal).</t>
  </si>
  <si>
    <t xml:space="preserve">RIADI Laboratory (ENSI Manouba)</t>
  </si>
  <si>
    <t xml:space="preserve">One of Tunisia's oldest and largest computer-science labs (founded 1999, ~70 senior researchers); research in AI, NLP, process mining, knowledge graphs and earth-observation AI.</t>
  </si>
  <si>
    <t xml:space="preserve">Laboratoire RIADI (official)</t>
  </si>
  <si>
    <t xml:space="preserve">http://www.riadi.rnu.tn/</t>
  </si>
  <si>
    <t xml:space="preserve">ML/NLP focus cross-checked via arXiv publications. [Reclassified 2026-08-01] Old Sector: 'General' -&gt; New: 'Education'. Old Entity Type: 'Hub' -&gt; New Ecosystem Type: 'R&amp;D'. [Refined 2026-08-02] Sector set to 'Education'. Maturity inferred as 'Early' (default for Startup/R&amp;D with no funding signal). [Audit 2026-08-05] Maturity corrected: 'Early' -&gt; 'Established'. [Audit 2026-08-05] Reason: institutional R&amp;D entity (lab founded 1999, ~70 researchers); the blanket Early default under-stated organizational maturity</t>
  </si>
  <si>
    <t xml:space="preserve">ReGIM-Lab (Research Groups in Intelligent Machines)</t>
  </si>
  <si>
    <t xml:space="preserve">Lab at ENIS, University of Sfax (1997), focused on AI, deep learning, computer vision, NLP and multimodal signal data science.</t>
  </si>
  <si>
    <t xml:space="preserve">1997</t>
  </si>
  <si>
    <t xml:space="preserve">ENIS (official)</t>
  </si>
  <si>
    <t xml:space="preserve">https://enis.rnu.tn/fra/pages/399/ReGIM-Lab.-REsearch-Groups-in-Intelligent-Machines-(LR11ES48)</t>
  </si>
  <si>
    <t xml:space="preserve">Confirmed via lab site regimlab.org. [Reclassified 2026-08-01] Old Sector: 'General' -&gt; New: 'Industry'. Old Entity Type: 'Hub' -&gt; New Ecosystem Type: 'R&amp;D'. [Refined 2026-08-02] Sector set to 'Education'. Maturity inferred as 'Early' (default for Startup/R&amp;D with no funding signal). [Audit 2026-08-05] Maturity corrected: 'Early' -&gt; 'Established'. [Audit 2026-08-05] Reason: institutional R&amp;D entity (lab est. 1997); the blanket Early default under-stated organizational maturity</t>
  </si>
  <si>
    <t xml:space="preserve">SETIT Lab</t>
  </si>
  <si>
    <t xml:space="preserve">University of Sfax lab researching smart systems for engineering and e-health, incl. deep-learning activity recognition and AI/IoT patient monitoring.</t>
  </si>
  <si>
    <t xml:space="preserve">SETIT / University of Sfax</t>
  </si>
  <si>
    <t xml:space="preserve">http://www.setit.rnu.tn/</t>
  </si>
  <si>
    <t xml:space="preserve">e-health AI focus; output on ResearchGate. [Reclassified 2026-08-01] Old Sector: 'Healthtech' -&gt; New: 'Health'. Old Entity Type: 'Hub' -&gt; New Ecosystem Type: 'R&amp;D'. [Refined 2026-08-02] Sector set to 'Health'. Maturity inferred as 'Early' (default for Startup/R&amp;D with no funding signal). [Audit 2026-08-05] Maturity corrected: 'Early' -&gt; 'Established'. [Audit 2026-08-05] Reason: institutional R&amp;D entity (established lab); the blanket Early default under-stated organizational maturity</t>
  </si>
  <si>
    <t xml:space="preserve">R&amp;D / Innovation Center</t>
  </si>
  <si>
    <t xml:space="preserve">Talan Tunisie Innovation Factory</t>
  </si>
  <si>
    <t xml:space="preserve">R&amp;D center of Talan Tunisie (nearshore center of France's Talan Group, 500+ engineers) focused on generative AI, data intelligence and blockchain.</t>
  </si>
  <si>
    <t xml:space="preserve">Talan (official)</t>
  </si>
  <si>
    <t xml:space="preserve">https://www.talan.com/global/en/unleash-your-potential-generative-ai</t>
  </si>
  <si>
    <t xml:space="preserve">Innovation Factory as Talan Tunisie R&amp;D arm corroborated. [Reclassified 2026-08-01] Old Sector: 'Enterprise AI' -&gt; New: 'Energy, Agriculture, Maritime, Health, Industry, Education'. Old Entity Type: 'Hub' -&gt; New Ecosystem Type: 'R&amp;D'. [Refined 2026-08-02] Sector forced to single label 'Industry' (was multi-sector: Energy, Agriculture, Maritime, Health, Industry, Education). Maturity inferred as 'Early' (default for Startup/R&amp;D with no funding signal).</t>
  </si>
  <si>
    <t xml:space="preserve">Business Analytics/AI Education</t>
  </si>
  <si>
    <t xml:space="preserve">Tunis Business School (Univ. of Tunis)</t>
  </si>
  <si>
    <t xml:space="preserve">English-language public business school offering a Research Master in Business Analytics with machine learning, data mining and AI coursework.</t>
  </si>
  <si>
    <t xml:space="preserve">Tunis Business School (official)</t>
  </si>
  <si>
    <t xml:space="preserve">https://tunis-business-school.tn/</t>
  </si>
  <si>
    <t xml:space="preserve">[Reclassified 2026-08-01] Old Sector: 'General' -&gt; New: 'Education'. Old Entity Type: 'Hub' -&gt; New Ecosystem Type: 'R&amp;D'. [Refined 2026-08-02] Sector set to 'Education'. Maturity inferred as 'Early' (default for Startup/R&amp;D with no funding signal). [Web re-verification 2026-08-05] Status 'Not yet verified' -&gt; 'Verified'. TBS's official site confirms it is an English-language public business school (Universite de Tunis) offering a Master/Research Master in Business Analytics with ML, data mining and AI coursework, including active calls for applications. Confirming source: https://tunis-business-school.tn/academics/masters/master-business-analytics/</t>
  </si>
  <si>
    <t xml:space="preserve">Enterprise AI automation / chatbots</t>
  </si>
  <si>
    <t xml:space="preserve">216Bot</t>
  </si>
  <si>
    <t xml:space="preserve">Tunisian startup providing AI-driven enterprise automation and conversational solutions, cited among Tunisia's top startups to watch in 2025 with an undisclosed seed round.</t>
  </si>
  <si>
    <t xml:space="preserve">Nucamp</t>
  </si>
  <si>
    <t xml:space="preserve">https://www.nucamp.co/blog/coding-bootcamp-tunisia-tun-tunisias-top-10-startups-that-tech-professionals-should-watch-out-for-in-2025</t>
  </si>
  <si>
    <t xml:space="preserve">Single aggregator source; needs confirmation from primary/company materials. [Added 2026-08-05 expansion pass]</t>
  </si>
  <si>
    <t xml:space="preserve">Dental radiology AI diagnostics</t>
  </si>
  <si>
    <t xml:space="preserve">AI Diagnosis Vision</t>
  </si>
  <si>
    <t xml:space="preserve">Tunisian e-health startup founded in 2021 by dentists Saoussen Ayari, Koussal Barhoumi and Lynda Sboui with AI specialist Anouar Nechi; its web platform analyzes panoramic jaw X-rays with claimed 92% accuracy and generates diagnostic reports and treatment plans for dentists. It raised EUR 70,000 from the Anava Seed Fund and was a 2021 Emerging Mediterranean laureate, with over 130 subscribing dentists.</t>
  </si>
  <si>
    <t xml:space="preserve">Company profile / Funding announcement</t>
  </si>
  <si>
    <t xml:space="preserve">$76,000</t>
  </si>
  <si>
    <t xml:space="preserve">https://www.agenceecofin.com/intelligence-artificielle/2409-91804-ai-diagnosis-vision-la-plateforme-tunisienne-qui-utilise-l-ia-pour-de-l-e-sante</t>
  </si>
  <si>
    <t xml:space="preserve">Detailed Agence Ecofin profile including founders, traction and the EUR 70,000 (~$76,000) Anava Seed Fund ticket. [Added 2026-08-05 expansion pass]</t>
  </si>
  <si>
    <t xml:space="preserve">Insurtech / Claims</t>
  </si>
  <si>
    <t xml:space="preserve">AVIDEA</t>
  </si>
  <si>
    <t xml:space="preserve">Startup (2017) digitising automobile-insurance claims and fighting fraud via DigiClaim and DigiFraud.</t>
  </si>
  <si>
    <t xml:space="preserve">$650,000</t>
  </si>
  <si>
    <t xml:space="preserve">https://startup.gov.tn/en/news/avidea-completes-round-financing-2-million-dinars</t>
  </si>
  <si>
    <t xml:space="preserve">Pre-Series A led by Capsa Capital &amp; 216 Capital. [Reclassified 2026-08-01] Old Sector: 'Fintech' -&gt; New: 'Industry'. Old Entity Type: 'Startup' -&gt; New Ecosystem Type: 'Startup'. [Refined 2026-08-02] Sector set to 'Industry'. Maturity inferred as 'Early' (funding&lt;1M ($650,000)).</t>
  </si>
  <si>
    <t xml:space="preserve">AI sales enablement (B2B SaaS)</t>
  </si>
  <si>
    <t xml:space="preserve">Addvocate.AI</t>
  </si>
  <si>
    <t xml:space="preserve">Tunisian startup whose AI-powered sales performance platform analyzes and coaches B2B sales conversations; in September 2025 it raised a strategic seed investment from Tunis-based VC 216 Capital to scale internationally.</t>
  </si>
  <si>
    <t xml:space="preserve">2025-09-10</t>
  </si>
  <si>
    <t xml:space="preserve">https://disruptafrica.com/2025/09/10/tunisian-sales-startup-addvocate-ai-secures-funding-for-international-expansion/</t>
  </si>
  <si>
    <t xml:space="preserve">Funding round reported concurrently by Disrupt Africa, WeeTracker, Wamda and Crunchbase. [Added 2026-08-05 expansion pass]</t>
  </si>
  <si>
    <t xml:space="preserve">Aquaculture AI / computer vision</t>
  </si>
  <si>
    <t xml:space="preserve">AquaDeep</t>
  </si>
  <si>
    <t xml:space="preserve">Tunis-based aquatech startup founded in 2021 by Mohamed Ben Ahmed and Youssef Chahed whose SaaS platform 'Oxygen' uses AI computer vision to automatically count fish larvae and juveniles from hatchery images, replacing error-prone manual counting. It works with FAO/GFCM, AWS and Orange, and won a GFCM MedFish4Ever award for its larvae counting system.</t>
  </si>
  <si>
    <t xml:space="preserve">AquaDeep (official site) / We Are Tech Africa</t>
  </si>
  <si>
    <t xml:space="preserve">https://www.aquadeep.com.tn/</t>
  </si>
  <si>
    <t xml:space="preserve">Cross-checked company site with We Are Tech Africa founder profile and the FAO GFCM MedFish4Ever award page listing AquaDeep's larvae counting system. [Added 2026-08-05 expansion pass]</t>
  </si>
  <si>
    <t xml:space="preserve">IoT &amp; Energy Intelligence</t>
  </si>
  <si>
    <t xml:space="preserve">Chifco</t>
  </si>
  <si>
    <t xml:space="preserve">Pioneer Tunisian IoT startup (est. 2011; Tunis/Sousse/Paris) in smart home/energy with machine learning and big-data analytics; partnered with Tunisie Telecom; first Tunisian startup in French Tech.</t>
  </si>
  <si>
    <t xml:space="preserve">Disrup'Tunisia</t>
  </si>
  <si>
    <t xml:space="preserve">https://www.disruptunisia.com/startup-tunisie/chifco-5366</t>
  </si>
  <si>
    <t xml:space="preserve">Cross-checked with TSA and El Moudjahid ASC coverage. [Reclassified 2026-08-01] Old Sector: 'Enterprise AI' -&gt; New: 'Energy'. Old Entity Type: 'Startup' -&gt; New Ecosystem Type: 'Startup'. [Refined 2026-08-02] Sector set to 'Energy'. Maturity inferred as 'Early' (default for Startup/R&amp;D with no funding signal). [Web re-verification 2026-08-05] Status 'Not yet verified' -&gt; 'Verified'. Official site chifco.com and Tunisian press confirm Chifco as a pioneer Tunisian IoT/smart-energy startup and the first Tunisian startup selected for the Paris French Tech Ticket; MAGNiTT and Startup Ranking corroborate the smart home/energy focus. Confirming source: https://chifco.com/</t>
  </si>
  <si>
    <t xml:space="preserve">Arabic NLP / LLM</t>
  </si>
  <si>
    <t xml:space="preserve">ClusterLab</t>
  </si>
  <si>
    <t xml:space="preserve">Tunisia-born AI/NLP company (behind Arabic audiobook app Reedz) developing Arabic LLMs; selected for NVIDIA Inception; raised $600k pre-seed (2024).</t>
  </si>
  <si>
    <t xml:space="preserve">$600,000</t>
  </si>
  <si>
    <t xml:space="preserve">https://disruptafrica.com/2024/03/27/tunisia-born-clusterlab-raises-600000-pre-seed-funding/</t>
  </si>
  <si>
    <t xml:space="preserve">Re-confirmed via dedicated research pass: Tunisia-born/UAE-HQ, $600K pre-seed from InstaDeep CEO Karim Beguir. [Reclassified 2026-08-01] Old Sector: 'Enterprise AI' -&gt; New: 'Industry'. Old Entity Type: 'Startup' -&gt; New Ecosystem Type: 'Startup'. [Refined 2026-08-02] Sector set to 'Industry'. Maturity inferred as 'Early' (funding&lt;1M ($600,000)).</t>
  </si>
  <si>
    <t xml:space="preserve">Retail Promotion AI</t>
  </si>
  <si>
    <t xml:space="preserve">Cognira</t>
  </si>
  <si>
    <t xml:space="preserve">AI promotion-management and retail-forecasting provider founded 2015 by Tunisian data scientists; Atlanta HQ with Tunis office as key AI R&amp;D hub (~113 employees).</t>
  </si>
  <si>
    <t xml:space="preserve">Product &amp; company news</t>
  </si>
  <si>
    <t xml:space="preserve">https://www.businesswire.com/news/home/20210120005150/en/Cognira-Makes-Its-AI-Powered-Promotion-Suite-Available-to-All-Retailers</t>
  </si>
  <si>
    <t xml:space="preserve">Tunis R&amp;D office cross-checked with cognira.com and LinkedIn. [Reclassified 2026-08-01] Old Sector: 'Enterprise AI' -&gt; New: 'Industry'. Old Entity Type: 'Startup' -&gt; New Ecosystem Type: 'Startup'. [Refined 2026-08-02] Sector set to 'Industry'. Maturity inferred as 'Early' (default for Startup/R&amp;D with no funding signal).</t>
  </si>
  <si>
    <t xml:space="preserve">Medical Devices / Prosthetics</t>
  </si>
  <si>
    <t xml:space="preserve">Cure Bionics</t>
  </si>
  <si>
    <t xml:space="preserve">Startup (2017) developing 3D-printed, solar-powered bionic hands using muscle sensors and AI-assisted software to interpret movement for amputees.</t>
  </si>
  <si>
    <t xml:space="preserve">Africanews</t>
  </si>
  <si>
    <t xml:space="preserve">https://www.africanews.com/2020/11/03/tunisian-startup-develops-a-customisable-bionic-hand-device/</t>
  </si>
  <si>
    <t xml:space="preserve">SaaS</t>
  </si>
  <si>
    <t xml:space="preserve">Cynoia</t>
  </si>
  <si>
    <t xml:space="preserve">AI-powered unified workspace software that consolidates communications and project tracking algorithms.</t>
  </si>
  <si>
    <t xml:space="preserve">SaaS Specifications</t>
  </si>
  <si>
    <t xml:space="preserve">$930,000</t>
  </si>
  <si>
    <t xml:space="preserve">Company website (Cynoia)</t>
  </si>
  <si>
    <t xml:space="preserve">https://cynoia.com/</t>
  </si>
  <si>
    <t xml:space="preserve">[Reclassified 2026-08-01] Old Sector: 'Enterprise AI' -&gt; New: 'Industry'. Old Entity Type: 'Startup' -&gt; New Ecosystem Type: 'Startup'. [Refined 2026-08-02] Sector set to 'Industry'. Maturity inferred as 'Early' (funding&lt;1M ($930,000)).</t>
  </si>
  <si>
    <t xml:space="preserve">Retail Computer Vision / Edge AI</t>
  </si>
  <si>
    <t xml:space="preserve">DataDoIt</t>
  </si>
  <si>
    <t xml:space="preserve">Tunis/Manouba startup (est. 2020) building AI pipelines for resource-constrained devices; smart-retail computer vision: footfall analytics, queue management, loss prevention.</t>
  </si>
  <si>
    <t xml:space="preserve">DataDoIt (official)</t>
  </si>
  <si>
    <t xml:space="preserve">https://data-doit.com/</t>
  </si>
  <si>
    <t xml:space="preserve">Cross-checked with official Ooredoo release. [Reclassified 2026-08-01] Old Sector: 'Enterprise AI' -&gt; New: 'Industry'. Old Entity Type: 'Startup' -&gt; New Ecosystem Type: 'Startup'. [Refined 2026-08-02] Sector set to 'Industry'. Maturity inferred as 'Early' (default for Startup/R&amp;D with no funding signal).</t>
  </si>
  <si>
    <t xml:space="preserve">E-commerce Price Intelligence</t>
  </si>
  <si>
    <t xml:space="preserve">Datavora</t>
  </si>
  <si>
    <t xml:space="preserve">Tunis big-data/AI startup monitoring 2,000+ retailers in 50 countries; algorithms match products, analyze trends and predict market behavior; NVIDIA Inception member.</t>
  </si>
  <si>
    <t xml:space="preserve">Company &amp; funding profile</t>
  </si>
  <si>
    <t xml:space="preserve">2017-06</t>
  </si>
  <si>
    <t xml:space="preserve">Entrepreneur Middle East</t>
  </si>
  <si>
    <t xml:space="preserve">https://www.entrepreneur.com/article/294026</t>
  </si>
  <si>
    <t xml:space="preserve">Funding cross-checked with datavora.com. [Reclassified 2026-08-01] Old Sector: 'Enterprise AI' -&gt; New: 'Industry'. Old Entity Type: 'Startup' -&gt; New Ecosystem Type: 'Startup'. [Refined 2026-08-02] Sector set to 'Industry'. Maturity inferred as 'Growth' (funding 1-5M ($1,000,000)).</t>
  </si>
  <si>
    <t xml:space="preserve">Capital Markets AI</t>
  </si>
  <si>
    <t xml:space="preserve">Deepera</t>
  </si>
  <si>
    <t xml:space="preserve">Tunis startup building AI research, portfolio-management, algorithmic-trading and stock-market analysis platforms for financial institutions.</t>
  </si>
  <si>
    <t xml:space="preserve">https://tracxn.com/d/companies/deepera/__TdDGRU10hZuwk-qtVH0Va_nDB3WYScJhCwMn5f_6jPk</t>
  </si>
  <si>
    <t xml:space="preserve">Backed by Witamax &amp; Renew Capital; AI core to product. [Reclassified 2026-08-01] Old Sector: 'Fintech' -&gt; New: 'Industry'. Old Entity Type: 'Startup' -&gt; New Ecosystem Type: 'Startup'. [Refined 2026-08-02] Sector set to 'Industry'. Maturity inferred as 'Early' (default for Startup/R&amp;D with no funding signal).</t>
  </si>
  <si>
    <t xml:space="preserve">SaaS Marketing</t>
  </si>
  <si>
    <t xml:space="preserve">Easy Ads</t>
  </si>
  <si>
    <t xml:space="preserve">AI-powered digital advertising optimization engines designed to help SMEs deploy targeted campaigns.</t>
  </si>
  <si>
    <t xml:space="preserve">News summaries</t>
  </si>
  <si>
    <t xml:space="preserve">NLP / Speech AI</t>
  </si>
  <si>
    <t xml:space="preserve">Elyadata</t>
  </si>
  <si>
    <t xml:space="preserve">La Marsa data-science company specialising in speech processing and document AI for low-resource Arabic dialects (NLP, NER, TTS, sentiment).</t>
  </si>
  <si>
    <t xml:space="preserve">Elyadata (official)</t>
  </si>
  <si>
    <t xml:space="preserve">https://www.elyadata.com/en</t>
  </si>
  <si>
    <t xml:space="preserve">Cross-checked with Challenge.ma and aicrafters.com. [Reclassified 2026-08-01] Old Sector: 'Enterprise AI' -&gt; New: 'Education'. Old Entity Type: 'Startup' -&gt; New Ecosystem Type: 'Startup'. [Refined 2026-08-02] Sector set to 'Industry'. Maturity inferred as 'Early' (default for Startup/R&amp;D with no funding signal).</t>
  </si>
  <si>
    <t xml:space="preserve">Enova Robotics</t>
  </si>
  <si>
    <t xml:space="preserve">Manufacturing and design of robust autonomous security robots (PGuard) and open-source MiniLab research platforms.</t>
  </si>
  <si>
    <t xml:space="preserve">Funding history</t>
  </si>
  <si>
    <t xml:space="preserve">2018-09-17</t>
  </si>
  <si>
    <t xml:space="preserve">$1,600,000</t>
  </si>
  <si>
    <t xml:space="preserve">MenaBytes</t>
  </si>
  <si>
    <t xml:space="preserve">https://www.menabytes.com/enova-robotics-1-6-million/</t>
  </si>
  <si>
    <t xml:space="preserve">Confirmed via dedicated research pass: Sousse robotics firm (founded 2014), AI genuinely embedded (facial recognition, autonomy) in PGUARD security robot. [Reclassified 2026-08-01] Old Sector: 'Enterprise AI' -&gt; New: 'Industry'. Old Entity Type: 'Startup' -&gt; New Ecosystem Type: 'Startup'. [Refined 2026-08-02] Sector set to 'Industry'. Maturity inferred as 'Growth' (funding 1-5M ($1,600,000)).</t>
  </si>
  <si>
    <t xml:space="preserve">Wearables / Neurology</t>
  </si>
  <si>
    <t xml:space="preserve">Epilert</t>
  </si>
  <si>
    <t xml:space="preserve">Startup (2017) developing a wearable bracelet combining biometrics and ML to detect/predict epileptic seizures within 30 seconds and alert caregivers.</t>
  </si>
  <si>
    <t xml:space="preserve">https://www.wamda.com/2020/02/tunisian-startup-epilert-english</t>
  </si>
  <si>
    <t xml:space="preserve">ML-based seizure detection corroborated by Arab News. [Reclassified 2026-08-01] Old Sector: 'Healthtech' -&gt; New: 'Health'. Old Entity Type: 'Startup' -&gt; New Ecosystem Type: 'Startup'. [Refined 2026-08-02] Sector set to 'Industry'. Maturity inferred as 'Early' (default for Startup/R&amp;D with no funding signal).</t>
  </si>
  <si>
    <t xml:space="preserve">Fintech / SaaS</t>
  </si>
  <si>
    <t xml:space="preserve">Expensya</t>
  </si>
  <si>
    <t xml:space="preserve">Tunis-founded spend/expense-management SaaS built on an AI OCR+ engine that auto-extracts invoice data; acquired by Sweden's Medius (2023).</t>
  </si>
  <si>
    <t xml:space="preserve">Acquisition</t>
  </si>
  <si>
    <t xml:space="preserve">$20,000,000</t>
  </si>
  <si>
    <t xml:space="preserve">https://www.menabytes.com/expensya-20-million/</t>
  </si>
  <si>
    <t xml:space="preserve">[Reclassified 2026-08-01] Old Sector: 'Enterprise AI' -&gt; New: 'Industry'. Old Entity Type: 'Startup' -&gt; New Ecosystem Type: 'Startup'. [Refined 2026-08-02] Sector set to 'Industry'. Maturity inferred as 'Established' (funding&gt;=5M ($20,000,000)).</t>
  </si>
  <si>
    <t xml:space="preserve">Digital Farm Management</t>
  </si>
  <si>
    <t xml:space="preserve">Ezzayra Solutions</t>
  </si>
  <si>
    <t xml:space="preserve">Tunisian agritech (est. 2015) with AgriManager farm-management software and autonomous/smart irrigation control; ~60 client farms; sensor-driven input optimization.</t>
  </si>
  <si>
    <t xml:space="preserve">Worldcrunch</t>
  </si>
  <si>
    <t xml:space="preserve">https://worldcrunch.com/tech-science/in-tunisia-a-digital-revolution-for-agriculture-takes-root</t>
  </si>
  <si>
    <t xml:space="preserve">[Reclassified 2026-08-01] Old Sector: 'Agritech' -&gt; New: 'Agriculture'. Old Entity Type: 'Startup' -&gt; New Ecosystem Type: 'Startup'. [Refined 2026-08-02] Sector set to 'Agriculture'. Maturity inferred as 'Early' (default for Startup/R&amp;D with no funding signal). [Web re-verification 2026-08-05] Status 'Not yet verified' -&gt; 'Verified'. Official site ezzayra.com (AgriManager product page), an FAO STI Portal entry for AgriManager, and press coverage (Worldcrunch, Ilboursa) confirm the Tunisian agritech's farm-management software and smart irrigation offering. Confirming source: https://ezzayra.com/agrimanager/</t>
  </si>
  <si>
    <t xml:space="preserve">AI Recruitment (HR-tech)</t>
  </si>
  <si>
    <t xml:space="preserve">Fabskill</t>
  </si>
  <si>
    <t xml:space="preserve">Tunisian SaaS recruitment platform (est. Dec 2018) using AI, NLP, ranking algorithms, video interviews and chatbots for sourcing and assessing talent; backed by TAEF.</t>
  </si>
  <si>
    <t xml:space="preserve">Company &amp; investment profile</t>
  </si>
  <si>
    <t xml:space="preserve">2018-12</t>
  </si>
  <si>
    <t xml:space="preserve">Tunisian American Enterprise Fund (TAEF)</t>
  </si>
  <si>
    <t xml:space="preserve">https://www.taefund.org/en/our-investments/fabskill/</t>
  </si>
  <si>
    <t xml:space="preserve">Investor page cross-checked with fabskill.com. [Reclassified 2026-08-01] Old Sector: 'Enterprise AI' -&gt; New: 'Industry'. Old Entity Type: 'Startup' -&gt; New Ecosystem Type: 'Startup'. [Refined 2026-08-02] Sector set to 'Industry'. Maturity inferred as 'Early' (default for Startup/R&amp;D with no funding signal).</t>
  </si>
  <si>
    <t xml:space="preserve">Autonomous maritime drones (USV)</t>
  </si>
  <si>
    <t xml:space="preserve">IRIS (Tunisian maritime surface drone)</t>
  </si>
  <si>
    <t xml:space="preserve">Deep-tech venture led by AVIONAV founder Foued El Kamel that unveiled IRIS, presented as the first 100% Tunisian unmanned surface vehicle (USV), in July 2026. The drone offers remote-controlled and fully autonomous navigation for maritime surveillance, scientific research and environmental missions; performance was validated with the Tunisian Customs School and a first unit was delivered to ENSIT for research and training.</t>
  </si>
  <si>
    <t xml:space="preserve">Company/product profile</t>
  </si>
  <si>
    <t xml:space="preserve">2026-07-03</t>
  </si>
  <si>
    <t xml:space="preserve">https://www.webmanagercenter.com/2026/07/03/569589/tunisie-iris-le-premier-drone-maritime-de-surface-usv-100-tunisien/</t>
  </si>
  <si>
    <t xml:space="preserve">Reported by WMC and La Presse de Tunisie (July 2026) with consistent details on developer, partners and capabilities. [Added 2026-08-05 expansion pass]</t>
  </si>
  <si>
    <t xml:space="preserve">Decision-Support</t>
  </si>
  <si>
    <t xml:space="preserve">InstaDeep</t>
  </si>
  <si>
    <t xml:space="preserve">Scalable AI decision support systems using deep reinforcement learning to optimize logistics and biotechnology.</t>
  </si>
  <si>
    <t xml:space="preserve">Company presentation</t>
  </si>
  <si>
    <t xml:space="preserve">2023-01-25</t>
  </si>
  <si>
    <t xml:space="preserve">$100,000,000</t>
  </si>
  <si>
    <t xml:space="preserve">Company website (InstaDeep)</t>
  </si>
  <si>
    <t xml:space="preserve">https://www.instadeep.com/</t>
  </si>
  <si>
    <t xml:space="preserve">Re-confirmed via dedicated research pass: Tunisia-founded (2014), HQ London, BioNTech acquisition ~$684M (Bloomberg). [Reclassified 2026-08-01] Old Sector: 'Enterprise AI' -&gt; New: 'Maritime'. Old Entity Type: 'Startup' -&gt; New Ecosystem Type: 'Startup'. [Refined 2026-08-02] Sector set to 'Industry'. Maturity inferred as 'Established' (funding&gt;=5M ($100,000,000)).</t>
  </si>
  <si>
    <t xml:space="preserve">Digital Identity / Payments</t>
  </si>
  <si>
    <t xml:space="preserve">Kaoun (Flouci)</t>
  </si>
  <si>
    <t xml:space="preserve">Startup (2019) whose machine-vision software verifies national-ID authenticity and runs facial recognition for remote KYC, powering the Flouci super-app.</t>
  </si>
  <si>
    <t xml:space="preserve">Ventureburn</t>
  </si>
  <si>
    <t xml:space="preserve">https://ventureburn.com/2022/08/founder-uses-fintech-speed-up-tunisia/</t>
  </si>
  <si>
    <t xml:space="preserve">AI machine-vision/facial-recognition role corroborated. [Reclassified 2026-08-01] Old Sector: 'Fintech' -&gt; New: 'Industry'. Old Entity Type: 'Startup' -&gt; New Ecosystem Type: 'Startup'. [Refined 2026-08-02] Sector set to 'Industry'. Maturity inferred as 'Early' (default for Startup/R&amp;D with no funding signal).</t>
  </si>
  <si>
    <t xml:space="preserve">Climate/Water Tech (AI-Optimized)</t>
  </si>
  <si>
    <t xml:space="preserve">Kumulus Water</t>
  </si>
  <si>
    <t xml:space="preserve">Tunisian-French startup making solar-compatible atmospheric water generators (20-30 L/day) with predictive algorithms/AI-powered optimization; $3.5M seed (June 2025: Bpifrance, PlusVC, Khalys, Flat6Labs, Spadel).</t>
  </si>
  <si>
    <t xml:space="preserve">https://www.wamda.com/2025/06/tunisia-kumulus-water-closes-3-5-million-seed-round</t>
  </si>
  <si>
    <t xml:space="preserve">Funding cross-checked (Tech.eu, Forbes ME). [Reclassified 2026-08-01] Old Sector: 'Agritech' -&gt; New: 'Energy'. Old Entity Type: 'Startup' -&gt; New Ecosystem Type: 'Startup'. [Refined 2026-08-02] Sector set to 'Energy'. Maturity inferred as 'Growth' (funding 1-5M ($3,500,000)).</t>
  </si>
  <si>
    <t xml:space="preserve">Healthcare facility management AI</t>
  </si>
  <si>
    <t xml:space="preserve">MedCity</t>
  </si>
  <si>
    <t xml:space="preserve">Tunis-based healthtech startup building an AI-supported healthcare management platform for clinics and medical facilities, cited among Tunisia's top 10 startups to watch in 2025. It reportedly raised roughly 50,000 TND (~$16,000) from local business angels.</t>
  </si>
  <si>
    <t xml:space="preserve">$16,000</t>
  </si>
  <si>
    <t xml:space="preserve">Found only in a single aggregator ranking (Nucamp); funding figure converted from ~50k TND and not confirmed by a primary source. [Added 2026-08-05 expansion pass]</t>
  </si>
  <si>
    <t xml:space="preserve">AI Livestock Monitoring</t>
  </si>
  <si>
    <t xml:space="preserve">MooMe</t>
  </si>
  <si>
    <t xml:space="preserve">Tunisian dairy-tech startup (est. 2019): smart collars + app whose data is processed through AI statistical models for disease detection, heat detection and insemination timing; 3,000+ users across 8 African countries.</t>
  </si>
  <si>
    <t xml:space="preserve">Prosper Africa / USAID INVEST</t>
  </si>
  <si>
    <t xml:space="preserve">https://www.prosperafrica.gov/blog/meet-the-tech-startup-transforming-the-dairy-market-in-tunisia-and-beyond-an-interview-with-moome/</t>
  </si>
  <si>
    <t xml:space="preserve">AI processing explicit in USAID interview; cross-checked with GSMA. [Reclassified 2026-08-01] Old Sector: 'Agritech' -&gt; New: 'Agriculture'. Old Entity Type: 'Startup' -&gt; New Ecosystem Type: 'Startup'. [Refined 2026-08-02] Sector set to 'Industry'. Maturity inferred as 'Early' (funding&lt;1M ($400,000)). [Audit 2026-08-05] Sector corrected: 'Industry' -&gt; 'Agriculture'. [Audit 2026-08-05] Reason: dairy/livestock monitoring is squarely agricultural</t>
  </si>
  <si>
    <t xml:space="preserve">Geospatial / Remote Sensing</t>
  </si>
  <si>
    <t xml:space="preserve">NextAV</t>
  </si>
  <si>
    <t xml:space="preserve">Sousse-based startup using AI to turn satellite/aerial imagery into near-real-time analytics (e.g. methane/oil-leak detection); named Best AI Startup at AfricArena Tunisia Summit 2023.</t>
  </si>
  <si>
    <t xml:space="preserve">Award / recognition</t>
  </si>
  <si>
    <t xml:space="preserve">https://ventureburn.com/2023/10/africarena-tunisia-summit-meet-the-top-start-ups/</t>
  </si>
  <si>
    <t xml:space="preserve">[Pending verification] ML/BI claim from directory profile. [Reclassified 2026-08-01] Old Sector: 'Enterprise AI' -&gt; New: 'Energy'. Old Entity Type: 'Startup' -&gt; New Ecosystem Type: 'Startup'. [Refined 2026-08-02] Sector set to 'Energy'. Maturity inferred as 'Early' (default for Startup/R&amp;D with no funding signal).</t>
  </si>
  <si>
    <t xml:space="preserve">Open-source robotics &amp; AI development platform</t>
  </si>
  <si>
    <t xml:space="preserve">OORB</t>
  </si>
  <si>
    <t xml:space="preserve">Tunisian-founded robotics startup building an open-source robotics development platform (ROS-based tooling) that lowers the barrier for building AI-powered robots; it reportedly raised about $100,000 from Maza Ventures in 2024.</t>
  </si>
  <si>
    <t xml:space="preserve">Sourced from a single aggregator ranking; company site could not be fetched to confirm details. [Added 2026-08-05 expansion pass]</t>
  </si>
  <si>
    <t xml:space="preserve">AI-optimized cross-border logistics</t>
  </si>
  <si>
    <t xml:space="preserve">Optimalogistic</t>
  </si>
  <si>
    <t xml:space="preserve">Tunisian logistics-tech startup using AI to optimize cross-border road freight between North Africa and Europe; it reportedly raised $157,000 from Kepple Africa Ventures.</t>
  </si>
  <si>
    <t xml:space="preserve">$157,000</t>
  </si>
  <si>
    <t xml:space="preserve">Kepple Africa Ventures ticket cited by aggregator ranking only; not yet cross-checked against a primary announcement. [Added 2026-08-05 expansion pass]</t>
  </si>
  <si>
    <t xml:space="preserve">RoboCare</t>
  </si>
  <si>
    <t xml:space="preserve">Sfax-based startup (2020) offering an AI precision-agriculture platform combining satellite, drone, IoT and weather data with ML to detect crop stress/disease early; six-figure 216 Capital round (2026).</t>
  </si>
  <si>
    <t xml:space="preserve">https://www.wamda.com/2026/06/tunisia-robocare-secures-figure-investment-216-capital</t>
  </si>
  <si>
    <t xml:space="preserve">AI Precision Irrigation</t>
  </si>
  <si>
    <t xml:space="preserve">Seabex</t>
  </si>
  <si>
    <t xml:space="preserve">AI-based sensorless precision-irrigation platform (50,000+ ha managed in Tunisia/France; ~30% water savings); seed round led by Water Unite Impact with Mercy Corps Ventures and Digital Africa.</t>
  </si>
  <si>
    <t xml:space="preserve">Water Unite</t>
  </si>
  <si>
    <t xml:space="preserve">https://www.waterunite.org/blog/post/22202/agri-tech-startup-seabex-closes-successful-seed-funding-round-led-by-water-unite-impact/</t>
  </si>
  <si>
    <t xml:space="preserve">Investor announcement cross-checked with seabex.com and Digital Africa. [Reclassified 2026-08-01] Old Sector: 'Agritech' -&gt; New: 'Agriculture'. Old Entity Type: 'Startup' -&gt; New Ecosystem Type: 'Startup'. [Refined 2026-08-02] Sector set to 'Agriculture'. Maturity inferred as 'Early' (default for Startup/R&amp;D with no funding signal).</t>
  </si>
  <si>
    <t xml:space="preserve">Engineering R&amp;D, Space &amp; AI</t>
  </si>
  <si>
    <t xml:space="preserve">TELNET Group</t>
  </si>
  <si>
    <t xml:space="preserve">Tunisian high-tech engineering group (est. 1994, listed on Tunis bourse); embedded software, IoT and AI expertise; built first Tunisian satellite Challenge One; launched an AI project for major-crop monitoring with INGC.</t>
  </si>
  <si>
    <t xml:space="preserve">Corporate AI project news</t>
  </si>
  <si>
    <t xml:space="preserve">2021-04</t>
  </si>
  <si>
    <t xml:space="preserve">https://www.webmanagercenter.com/2021/04/28/467096/telnet-holding-va-mettre-de-lintelligence-artificielle-dans-les-grandes-cultures-tunisiennes/</t>
  </si>
  <si>
    <t xml:space="preserve">Cross-checked with groupe-telnet.com. [Reclassified 2026-08-01] Old Sector: 'Enterprise AI' -&gt; New: 'Agriculture'. Old Entity Type: 'Startup' -&gt; New Ecosystem Type: 'Startup'. [Refined 2026-08-02] Sector set to 'Agriculture'. Maturity inferred as 'Early' (default for Startup/R&amp;D with no funding signal).</t>
  </si>
  <si>
    <t xml:space="preserve">Software Testing / QA</t>
  </si>
  <si>
    <t xml:space="preserve">Thunder Code</t>
  </si>
  <si>
    <t xml:space="preserve">AI-native software-testing platform using generative-AI agents that simulate human testers to run automated QA in plain English; founded 2025 by ex-Expensya founders.</t>
  </si>
  <si>
    <t xml:space="preserve">$9,000,000</t>
  </si>
  <si>
    <t xml:space="preserve">Forbes Middle East</t>
  </si>
  <si>
    <t xml:space="preserve">https://www.forbesmiddleeast.com/innovation/startups/ai-software-testing-platform-thunder-code-raises-$9m-seed-round</t>
  </si>
  <si>
    <t xml:space="preserve">$9M seed led by Silicon Badia, Janngo, Titan Seed. Confirmed via dedicated research pass: AI-native software testing platform, $9M seed (June 2025, Silicon Badia-led). [Reclassified 2026-08-01] Old Sector: 'Enterprise AI' -&gt; New: 'Industry'. Old Entity Type: 'Startup' -&gt; New Ecosystem Type: 'Startup'. [Refined 2026-08-02] Sector set to 'Industry'. Maturity inferred as 'Established' (funding&gt;=5M ($9,000,000)).</t>
  </si>
  <si>
    <t xml:space="preserve">Insurtech / Fraud Detection</t>
  </si>
  <si>
    <t xml:space="preserve">Unfrauded</t>
  </si>
  <si>
    <t xml:space="preserve">Ariana startup (2019) with an AI tool detecting automotive-insurance fraud via 60+ fraud indicators and automating claim assessment.</t>
  </si>
  <si>
    <t xml:space="preserve">Unfrauded official</t>
  </si>
  <si>
    <t xml:space="preserve">https://unfrauded.com/company</t>
  </si>
  <si>
    <t xml:space="preserve">Founder names not cleanly disclosed publicly; possible dormant/low activity - confirm current operating status before treating as an active entity. [Reclassified 2026-08-01] Old Sector: 'Fintech' -&gt; New: 'Industry'. Old Entity Type: 'Startup' -&gt; New Ecosystem Type: 'Startup'. [Refined 2026-08-02] Sector set to 'Industry'. Maturity inferred as 'Early' (default for Startup/R&amp;D with no funding signal).</t>
  </si>
  <si>
    <t xml:space="preserve">AI in Banking/Insurance Software</t>
  </si>
  <si>
    <t xml:space="preserve">VERMEG</t>
  </si>
  <si>
    <t xml:space="preserve">Tunisian-founded (1993, Tunis) global banking/insurance software house (1,500+ staff) embedding AI/ML in products (SOLIAM wealth management, collateral valuation, predictive analytics, risk models).</t>
  </si>
  <si>
    <t xml:space="preserve">Company AI profile</t>
  </si>
  <si>
    <t xml:space="preserve">1993</t>
  </si>
  <si>
    <t xml:space="preserve">Cash Platform</t>
  </si>
  <si>
    <t xml:space="preserve">https://www.cash-platform.com/harnessing-artificial-intelligence-how-vermeg-is-revolutionizing-financial-software-solutions/</t>
  </si>
  <si>
    <t xml:space="preserve">AI product claims cross-checked with vermeg.com. [Reclassified 2026-08-01] Old Sector: 'Fintech' -&gt; New: 'Industry'. Old Entity Type: 'Startup' -&gt; New Ecosystem Type: 'Startup'. [Refined 2026-08-02] Sector set to 'Industry'. Maturity inferred as 'Early' (default for Startup/R&amp;D with no funding signal).</t>
  </si>
  <si>
    <t xml:space="preserve">RegTech / AML</t>
  </si>
  <si>
    <t xml:space="preserve">Vneuron (Reis Risk &amp; Compliance)</t>
  </si>
  <si>
    <t xml:space="preserve">Software firm (2007) whose Reis suite uses AI/ML for real-time AML transaction monitoring, KYC screening and fraud detection; Best AML Solution Provider, Waters Rankings 2023.</t>
  </si>
  <si>
    <t xml:space="preserve">Vneuron (official)</t>
  </si>
  <si>
    <t xml:space="preserve">https://www.vneuron.com/</t>
  </si>
  <si>
    <t xml:space="preserve">AI/ML in Reis suite corroborated by RegTech Analyst. [Reclassified 2026-08-01] Old Sector: 'Fintech' -&gt; New: 'Industry'. Old Entity Type: 'Startup' -&gt; New Ecosystem Type: 'Startup'. [Refined 2026-08-02] Sector set to 'Industry'. Maturity inferred as 'Early' (default for Startup/R&amp;D with no funding signal).</t>
  </si>
  <si>
    <t xml:space="preserve">Energy / Climate-tech</t>
  </si>
  <si>
    <t xml:space="preserve">Wattnow</t>
  </si>
  <si>
    <t xml:space="preserve">IoT smart-energy platform whose ML engines analyse sensor data to monitor, predict and optimise commercial energy use; raised a multi-million-dollar round (2024, Lateral Frontiers &amp; 216 Capital).</t>
  </si>
  <si>
    <t xml:space="preserve">https://www.wamda.com/2024/09/tunisia-wattnow-closes-multi-million-dollar-funding-round</t>
  </si>
  <si>
    <t xml:space="preserve">[Reclassified 2026-08-01] Old Sector: 'Enterprise AI' -&gt; New: 'Energy'. Old Entity Type: 'Startup' -&gt; New Ecosystem Type: 'Startup'. [Refined 2026-08-02] Sector set to 'Energy'. Maturity inferred as 'Established' (funding&gt;=5M ($10,000,000)).</t>
  </si>
  <si>
    <t xml:space="preserve">iCompass</t>
  </si>
  <si>
    <t xml:space="preserve">Natural language processing modules and TunBERT models for the analysis of low-resource Arabic dialects.</t>
  </si>
  <si>
    <t xml:space="preserve">SaaS Product Profile</t>
  </si>
  <si>
    <t xml:space="preserve">2021-11-17</t>
  </si>
  <si>
    <t xml:space="preserve">InstaDeep (official announcement) / Disrupt Africa</t>
  </si>
  <si>
    <t xml:space="preserve">https://instadeep.com/2021/06/instadeep-and-icompass-open-source-world-first-tunisian-dialect-ai-language-model-to-encourage-innovation/</t>
  </si>
  <si>
    <t xml:space="preserve">Verified: iCompass (founded 2019, Tunis; Hatem Haddad &amp; Ahmed Nouisser) built TunBERT with InstaDeep - the first NLP language model for Tunisian dialect - open-sourced June 2021 (GitHub iCompass-ai/TunBERT). Source upgraded from euroquity to InstaDeep's official announcement. [Reclassified 2026-08-01] Old Sector: 'Enterprise AI' -&gt; New: 'Industry'. Old Entity Type: 'Startup' -&gt; New Ecosystem Type: 'Startup'. [Refined 2026-08-02] Sector set to 'Industry'. Maturity inferred as 'Early' (default for Startup/R&amp;D with no funding signal).</t>
  </si>
  <si>
    <t xml:space="preserve">AI+IoT Irrigation</t>
  </si>
  <si>
    <t xml:space="preserve">iFarming Solutions</t>
  </si>
  <si>
    <t xml:space="preserve">Tunisian startup (est. 2017) whose Phyt'Eau platform uses IoT sensors and artificial intelligence for real-time irrigation management; winner of the Tunisia IoT &amp; AI Challenge.</t>
  </si>
  <si>
    <t xml:space="preserve">https://africanmanager.com/une-solution-dirrigation-purement-tunisienne-met-lintelligence-artificielle-au-service-de-lagriculture/</t>
  </si>
  <si>
    <t xml:space="preserve">AI claim explicit; cross-checked with FAO STI portal. [Reclassified 2026-08-01] Old Sector: 'Agritech' -&gt; New: 'Agriculture'. Old Entity Type: 'Startup' -&gt; New Ecosystem Type: 'Startup'. [Refined 2026-08-02] Sector set to 'Agriculture'. Maturity inferred as 'Early' (default for Startup/R&amp;D with no funding signal).</t>
  </si>
  <si>
    <t xml:space="preserve">Metric</t>
  </si>
  <si>
    <t xml:space="preserve">Count</t>
  </si>
  <si>
    <t xml:space="preserve">Total records</t>
  </si>
  <si>
    <t xml:space="preserve">By verification status</t>
  </si>
  <si>
    <t xml:space="preserve">  Verified</t>
  </si>
  <si>
    <t xml:space="preserve">  Not yet verified</t>
  </si>
  <si>
    <t xml:space="preserve">  Mismatch found</t>
  </si>
  <si>
    <t xml:space="preserve">By country - southern shore</t>
  </si>
  <si>
    <t xml:space="preserve">  Algeria</t>
  </si>
  <si>
    <t xml:space="preserve">  Egypt</t>
  </si>
  <si>
    <t xml:space="preserve">  Lebanon</t>
  </si>
  <si>
    <t xml:space="preserve">  Morocco</t>
  </si>
  <si>
    <t xml:space="preserve">  Tunisia</t>
  </si>
  <si>
    <t xml:space="preserve">By country - northern shore</t>
  </si>
  <si>
    <t xml:space="preserve">  France</t>
  </si>
  <si>
    <t xml:space="preserve">  Italy</t>
  </si>
  <si>
    <t xml:space="preserve">  Spain</t>
  </si>
  <si>
    <t xml:space="preserve">By sector</t>
  </si>
  <si>
    <t xml:space="preserve">  Agriculture</t>
  </si>
  <si>
    <t xml:space="preserve">  Education</t>
  </si>
  <si>
    <t xml:space="preserve">  Energy</t>
  </si>
  <si>
    <t xml:space="preserve">  Health</t>
  </si>
  <si>
    <t xml:space="preserve">  Industry</t>
  </si>
  <si>
    <t xml:space="preserve">  Maritime</t>
  </si>
  <si>
    <t xml:space="preserve">By entity type</t>
  </si>
  <si>
    <t xml:space="preserve">  Community/Association</t>
  </si>
  <si>
    <t xml:space="preserve">  Conference/Summit</t>
  </si>
  <si>
    <t xml:space="preserve">  Funding</t>
  </si>
  <si>
    <t xml:space="preserve">  Hackathons</t>
  </si>
  <si>
    <t xml:space="preserve">  Incubator/Accelerator</t>
  </si>
  <si>
    <t xml:space="preserve">  Other initiatives</t>
  </si>
  <si>
    <t xml:space="preserve">  Policy/Strategy</t>
  </si>
  <si>
    <t xml:space="preserve">  R&amp;D</t>
  </si>
  <si>
    <t xml:space="preserve">  Startup</t>
  </si>
  <si>
    <t xml:space="preserve">Maturity recorded</t>
  </si>
  <si>
    <t xml:space="preserve">Records by country</t>
  </si>
  <si>
    <t xml:space="preserve">Category</t>
  </si>
  <si>
    <t xml:space="preserve">Records by entity type</t>
  </si>
  <si>
    <t xml:space="preserve">Records by sector</t>
  </si>
  <si>
    <t xml:space="preserve">Records by source type</t>
  </si>
  <si>
    <t xml:space="preserve">Change</t>
  </si>
  <si>
    <t xml:space="preserve">Detail</t>
  </si>
  <si>
    <t xml:space="preserve">Merge of the two dataset branches</t>
  </si>
  <si>
    <t xml:space="preserve">The five-country dataset (521 records) and the northern-Mediterranean extension (476 records) were two branches sharing 360 records, not successive versions. They were merged into a single dataset of 637 records covering eight countries. 161 records existed only in the five-country branch and 116 only in the extension (100 European plus 16 Lebanese policy and ecosystem records).</t>
  </si>
  <si>
    <t xml:space="preserve">Schema retained</t>
  </si>
  <si>
    <t xml:space="preserve">The five-country schema was kept as canonical: nine entity types, a Maturity column, and a six-value Sector column recording the application domain served. It carries more information than the extension's four entity types.</t>
  </si>
  <si>
    <t xml:space="preserve">Sector mapping applied to incoming records</t>
  </si>
  <si>
    <t xml:space="preserve">The extension's Application Sector was mapped onto the six-value Sector: Industry, Education, Agriculture, Energy and Maritime map directly; Healthcare maps to Health. Finance, Government and Cross-sector have no equivalent and were resolved per record from the technology sector and sub-sector, defaulting to Industry. This follows the existing convention, under which 31 of 38 funding records and 36 of 53 policy records were already filed as Industry. Result: 86 to Industry, 22 to Education, 8 to Health.</t>
  </si>
  <si>
    <t xml:space="preserve">Entity type mapping applied to incoming records</t>
  </si>
  <si>
    <t xml:space="preserve">Startup maps directly; Investor becomes Funding; Policy becomes Policy/Strategy. Hub was split by sub-sector: incubators and campuses to Incubator/Accelerator, research centres, supercomputing and language-model work to R&amp;D, communities and associations to Community/Association, events to Conference/Summit, infrastructure and foundations to Other initiatives.</t>
  </si>
  <si>
    <t xml:space="preserve">Maturity left blank for merged records</t>
  </si>
  <si>
    <t xml:space="preserve">The extension did not record maturity. Rather than infer it, the 116 merged records carry a blank Maturity value, flagged in the dataset quality report. 521 of 637 records have maturity recorded.</t>
  </si>
  <si>
    <t xml:space="preserve">Provenance recorded per record</t>
  </si>
  <si>
    <t xml:space="preserve">Every merged record's Notes field records its original sector, application sector and entity type, so the mapping is reversible and auditable.</t>
  </si>
  <si>
    <t xml:space="preserve">Verification convention unchanged</t>
  </si>
  <si>
    <t xml:space="preserve">Verified records are shaded green, Not yet verified are unshaded, Mismatch found is shaded red and excluded from the search index. Current split: 565 verified, 71 not yet verified, 1 mismatch.</t>
  </si>
</sst>
</file>

<file path=xl/styles.xml><?xml version="1.0" encoding="utf-8"?>
<styleSheet xmlns="http://schemas.openxmlformats.org/spreadsheetml/2006/main">
  <numFmts count="2">
    <numFmt numFmtId="164" formatCode="General"/>
    <numFmt numFmtId="165" formatCode="yyyy\-mm\-dd\ h:mm:ss"/>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4E78"/>
        <bgColor rgb="FF003366"/>
      </patternFill>
    </fill>
    <fill>
      <patternFill patternType="solid">
        <fgColor rgb="FFE2EFDA"/>
        <bgColor rgb="FFFCE4E4"/>
      </patternFill>
    </fill>
    <fill>
      <patternFill patternType="solid">
        <fgColor rgb="FFFCE4E4"/>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fgColor rgb="FFE2EFDA"/>
          <bgColor rgb="FF000000"/>
        </patternFill>
      </fill>
    </dxf>
    <dxf>
      <fill>
        <patternFill patternType="solid">
          <fgColor rgb="FFFCE4E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CE4E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Records by country</a:t>
            </a:r>
          </a:p>
        </c:rich>
      </c:tx>
      <c:overlay val="0"/>
      <c:spPr>
        <a:noFill/>
        <a:ln w="0">
          <a:noFill/>
        </a:ln>
      </c:spPr>
    </c:title>
    <c:autoTitleDeleted val="0"/>
    <c:plotArea>
      <c:barChart>
        <c:barDir val="bar"/>
        <c:grouping val="clustered"/>
        <c:varyColors val="0"/>
        <c:ser>
          <c:idx val="0"/>
          <c:order val="0"/>
          <c:tx>
            <c:strRef>
              <c:f>Charts!B2</c:f>
              <c:strCache>
                <c:ptCount val="1"/>
                <c:pt idx="0">
                  <c:v>Count</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Charts!$A$3:$A$10</c:f>
              <c:strCache>
                <c:ptCount val="8"/>
                <c:pt idx="0">
                  <c:v>Italy</c:v>
                </c:pt>
                <c:pt idx="1">
                  <c:v>Spain</c:v>
                </c:pt>
                <c:pt idx="2">
                  <c:v>France</c:v>
                </c:pt>
                <c:pt idx="3">
                  <c:v>Lebanon</c:v>
                </c:pt>
                <c:pt idx="4">
                  <c:v>Algeria</c:v>
                </c:pt>
                <c:pt idx="5">
                  <c:v>Tunisia</c:v>
                </c:pt>
                <c:pt idx="6">
                  <c:v>Morocco</c:v>
                </c:pt>
                <c:pt idx="7">
                  <c:v>Egypt</c:v>
                </c:pt>
              </c:strCache>
            </c:strRef>
          </c:cat>
          <c:val>
            <c:numRef>
              <c:f>Charts!$B$3:$B$10</c:f>
              <c:numCache>
                <c:formatCode>General</c:formatCode>
                <c:ptCount val="8"/>
                <c:pt idx="0">
                  <c:v>30</c:v>
                </c:pt>
                <c:pt idx="1">
                  <c:v>30</c:v>
                </c:pt>
                <c:pt idx="2">
                  <c:v>40</c:v>
                </c:pt>
                <c:pt idx="3">
                  <c:v>78</c:v>
                </c:pt>
                <c:pt idx="4">
                  <c:v>93</c:v>
                </c:pt>
                <c:pt idx="5">
                  <c:v>111</c:v>
                </c:pt>
                <c:pt idx="6">
                  <c:v>113</c:v>
                </c:pt>
                <c:pt idx="7">
                  <c:v>142</c:v>
                </c:pt>
              </c:numCache>
            </c:numRef>
          </c:val>
        </c:ser>
        <c:gapWidth val="150"/>
        <c:overlap val="0"/>
        <c:axId val="53843818"/>
        <c:axId val="20405014"/>
      </c:barChart>
      <c:catAx>
        <c:axId val="538438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405014"/>
        <c:crosses val="autoZero"/>
        <c:auto val="1"/>
        <c:lblAlgn val="ctr"/>
        <c:lblOffset val="100"/>
        <c:noMultiLvlLbl val="0"/>
      </c:catAx>
      <c:valAx>
        <c:axId val="20405014"/>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Records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84381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Records by entity type</a:t>
            </a:r>
          </a:p>
        </c:rich>
      </c:tx>
      <c:overlay val="0"/>
      <c:spPr>
        <a:noFill/>
        <a:ln w="0">
          <a:noFill/>
        </a:ln>
      </c:spPr>
    </c:title>
    <c:autoTitleDeleted val="0"/>
    <c:plotArea>
      <c:barChart>
        <c:barDir val="bar"/>
        <c:grouping val="clustered"/>
        <c:varyColors val="0"/>
        <c:ser>
          <c:idx val="0"/>
          <c:order val="0"/>
          <c:tx>
            <c:strRef>
              <c:f>Charts!B13</c:f>
              <c:strCache>
                <c:ptCount val="1"/>
                <c:pt idx="0">
                  <c:v>Count</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Charts!$A$14:$A$22</c:f>
              <c:strCache>
                <c:ptCount val="9"/>
                <c:pt idx="0">
                  <c:v>Community/Association</c:v>
                </c:pt>
                <c:pt idx="1">
                  <c:v>Hackathons</c:v>
                </c:pt>
                <c:pt idx="2">
                  <c:v>Conference/Summit</c:v>
                </c:pt>
                <c:pt idx="3">
                  <c:v>Funding</c:v>
                </c:pt>
                <c:pt idx="4">
                  <c:v>Incubator/Accelerator</c:v>
                </c:pt>
                <c:pt idx="5">
                  <c:v>Other initiatives</c:v>
                </c:pt>
                <c:pt idx="6">
                  <c:v>Policy/Strategy</c:v>
                </c:pt>
                <c:pt idx="7">
                  <c:v>R&amp;D</c:v>
                </c:pt>
                <c:pt idx="8">
                  <c:v>Startup</c:v>
                </c:pt>
              </c:strCache>
            </c:strRef>
          </c:cat>
          <c:val>
            <c:numRef>
              <c:f>Charts!$B$14:$B$22</c:f>
              <c:numCache>
                <c:formatCode>General</c:formatCode>
                <c:ptCount val="9"/>
                <c:pt idx="0">
                  <c:v>19</c:v>
                </c:pt>
                <c:pt idx="1">
                  <c:v>24</c:v>
                </c:pt>
                <c:pt idx="2">
                  <c:v>29</c:v>
                </c:pt>
                <c:pt idx="3">
                  <c:v>47</c:v>
                </c:pt>
                <c:pt idx="4">
                  <c:v>52</c:v>
                </c:pt>
                <c:pt idx="5">
                  <c:v>57</c:v>
                </c:pt>
                <c:pt idx="6">
                  <c:v>84</c:v>
                </c:pt>
                <c:pt idx="7">
                  <c:v>93</c:v>
                </c:pt>
                <c:pt idx="8">
                  <c:v>232</c:v>
                </c:pt>
              </c:numCache>
            </c:numRef>
          </c:val>
        </c:ser>
        <c:gapWidth val="150"/>
        <c:overlap val="0"/>
        <c:axId val="85186046"/>
        <c:axId val="9637174"/>
      </c:barChart>
      <c:catAx>
        <c:axId val="8518604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37174"/>
        <c:crosses val="autoZero"/>
        <c:auto val="1"/>
        <c:lblAlgn val="ctr"/>
        <c:lblOffset val="100"/>
        <c:noMultiLvlLbl val="0"/>
      </c:catAx>
      <c:valAx>
        <c:axId val="9637174"/>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Records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18604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Records by sector</a:t>
            </a:r>
          </a:p>
        </c:rich>
      </c:tx>
      <c:overlay val="0"/>
      <c:spPr>
        <a:noFill/>
        <a:ln w="0">
          <a:noFill/>
        </a:ln>
      </c:spPr>
    </c:title>
    <c:autoTitleDeleted val="0"/>
    <c:plotArea>
      <c:barChart>
        <c:barDir val="bar"/>
        <c:grouping val="clustered"/>
        <c:varyColors val="0"/>
        <c:ser>
          <c:idx val="0"/>
          <c:order val="0"/>
          <c:tx>
            <c:strRef>
              <c:f>Charts!B26</c:f>
              <c:strCache>
                <c:ptCount val="1"/>
                <c:pt idx="0">
                  <c:v>Count</c:v>
                </c:pt>
              </c:strCache>
            </c:strRef>
          </c:tx>
          <c:spPr>
            <a:solidFill>
              <a:srgbClr val="4f81bd"/>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Charts!$A$27:$A$32</c:f>
              <c:strCache>
                <c:ptCount val="6"/>
                <c:pt idx="0">
                  <c:v>Maritime</c:v>
                </c:pt>
                <c:pt idx="1">
                  <c:v>Energy</c:v>
                </c:pt>
                <c:pt idx="2">
                  <c:v>Agriculture</c:v>
                </c:pt>
                <c:pt idx="3">
                  <c:v>Health</c:v>
                </c:pt>
                <c:pt idx="4">
                  <c:v>Education</c:v>
                </c:pt>
                <c:pt idx="5">
                  <c:v>Industry</c:v>
                </c:pt>
              </c:strCache>
            </c:strRef>
          </c:cat>
          <c:val>
            <c:numRef>
              <c:f>Charts!$B$27:$B$32</c:f>
              <c:numCache>
                <c:formatCode>General</c:formatCode>
                <c:ptCount val="6"/>
                <c:pt idx="0">
                  <c:v>14</c:v>
                </c:pt>
                <c:pt idx="1">
                  <c:v>22</c:v>
                </c:pt>
                <c:pt idx="2">
                  <c:v>41</c:v>
                </c:pt>
                <c:pt idx="3">
                  <c:v>48</c:v>
                </c:pt>
                <c:pt idx="4">
                  <c:v>122</c:v>
                </c:pt>
                <c:pt idx="5">
                  <c:v>390</c:v>
                </c:pt>
              </c:numCache>
            </c:numRef>
          </c:val>
        </c:ser>
        <c:gapWidth val="150"/>
        <c:overlap val="0"/>
        <c:axId val="46014576"/>
        <c:axId val="19167407"/>
      </c:barChart>
      <c:catAx>
        <c:axId val="460145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167407"/>
        <c:crosses val="autoZero"/>
        <c:auto val="1"/>
        <c:lblAlgn val="ctr"/>
        <c:lblOffset val="100"/>
        <c:noMultiLvlLbl val="0"/>
      </c:catAx>
      <c:valAx>
        <c:axId val="19167407"/>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Records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0145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Records by source type</a:t>
            </a:r>
          </a:p>
        </c:rich>
      </c:tx>
      <c:overlay val="0"/>
      <c:spPr>
        <a:noFill/>
        <a:ln w="0">
          <a:noFill/>
        </a:ln>
      </c:spPr>
    </c:title>
    <c:autoTitleDeleted val="0"/>
    <c:plotArea>
      <c:pieChart>
        <c:varyColors val="0"/>
        <c:ser>
          <c:idx val="0"/>
          <c:order val="0"/>
          <c:tx>
            <c:strRef>
              <c:f>Charts!B36</c:f>
              <c:strCache>
                <c:ptCount val="1"/>
                <c:pt idx="0">
                  <c:v>Count</c:v>
                </c:pt>
              </c:strCache>
            </c:strRef>
          </c:tx>
          <c:spPr>
            <a:solidFill>
              <a:srgbClr val="4f81bd"/>
            </a:solidFill>
            <a:ln w="0">
              <a:noFill/>
            </a:ln>
          </c:spPr>
          <c:explosion val="0"/>
          <c:dPt>
            <c:idx val="0"/>
            <c:spPr>
              <a:solidFill>
                <a:srgbClr val="4f81bd"/>
              </a:solidFill>
              <a:ln w="0">
                <a:noFill/>
              </a:ln>
            </c:spPr>
          </c:dPt>
          <c:dPt>
            <c:idx val="1"/>
            <c:spPr>
              <a:solidFill>
                <a:srgbClr val="4f81bd"/>
              </a:solidFill>
              <a:ln w="0">
                <a:noFill/>
              </a:ln>
            </c:spPr>
          </c:dPt>
          <c:dPt>
            <c:idx val="2"/>
            <c:spPr>
              <a:solidFill>
                <a:srgbClr val="4f81bd"/>
              </a:solidFill>
              <a:ln w="0">
                <a:noFill/>
              </a:ln>
            </c:spPr>
          </c:dPt>
          <c:dPt>
            <c:idx val="3"/>
            <c:spPr>
              <a:solidFill>
                <a:srgbClr val="4f81bd"/>
              </a:solidFill>
              <a:ln w="0">
                <a:noFill/>
              </a:ln>
            </c:spPr>
          </c:dPt>
          <c:dPt>
            <c:idx val="4"/>
            <c:spPr>
              <a:solidFill>
                <a:srgbClr val="4f81bd"/>
              </a:solidFill>
              <a:ln w="0">
                <a:noFill/>
              </a:ln>
            </c:spPr>
          </c:dPt>
          <c:dPt>
            <c:idx val="5"/>
            <c:spPr>
              <a:solidFill>
                <a:srgbClr val="4f81bd"/>
              </a:solidFill>
              <a:ln w="0">
                <a:noFill/>
              </a:ln>
            </c:spPr>
          </c:dPt>
          <c:dPt>
            <c:idx val="6"/>
            <c:spPr>
              <a:solidFill>
                <a:srgbClr val="4f81bd"/>
              </a:solidFill>
              <a:ln w="0">
                <a:noFill/>
              </a:ln>
            </c:spPr>
          </c:dPt>
          <c:dPt>
            <c:idx val="7"/>
            <c:spPr>
              <a:solidFill>
                <a:srgbClr val="4f81bd"/>
              </a:solidFill>
              <a:ln w="0">
                <a:noFill/>
              </a:ln>
            </c:spPr>
          </c:dPt>
          <c:dPt>
            <c:idx val="8"/>
            <c:spPr>
              <a:solidFill>
                <a:srgbClr val="4f81bd"/>
              </a:solidFill>
              <a:ln w="0">
                <a:noFill/>
              </a:ln>
            </c:spPr>
          </c:dPt>
          <c:dPt>
            <c:idx val="9"/>
            <c:spPr>
              <a:solidFill>
                <a:srgbClr val="4f81bd"/>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1"/>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2"/>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3"/>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4"/>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5"/>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6"/>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7"/>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8"/>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dLbl>
              <c:idx val="9"/>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bestFit"/>
            <c:showLegendKey val="0"/>
            <c:showVal val="1"/>
            <c:showCatName val="0"/>
            <c:showSerName val="0"/>
            <c:showPercent val="0"/>
            <c:separator>; </c:separator>
            <c:showLeaderLines val="1"/>
          </c:dLbls>
          <c:cat>
            <c:strRef>
              <c:f>Charts!$A$37:$A$46</c:f>
              <c:strCache>
                <c:ptCount val="10"/>
                <c:pt idx="0">
                  <c:v>Primary</c:v>
                </c:pt>
                <c:pt idx="1">
                  <c:v>Primary (News)</c:v>
                </c:pt>
                <c:pt idx="2">
                  <c:v>Aggregator</c:v>
                </c:pt>
                <c:pt idx="3">
                  <c:v>Primary (Government)</c:v>
                </c:pt>
                <c:pt idx="4">
                  <c:v>Secondary</c:v>
                </c:pt>
                <c:pt idx="5">
                  <c:v>Aggregator (Intergovernmental)</c:v>
                </c:pt>
                <c:pt idx="6">
                  <c:v>Primary (Intergovernmental)</c:v>
                </c:pt>
                <c:pt idx="7">
                  <c:v>Secondary (Academic Survey)</c:v>
                </c:pt>
                <c:pt idx="8">
                  <c:v>Primary (EU)</c:v>
                </c:pt>
                <c:pt idx="9">
                  <c:v>Primary (Academic)</c:v>
                </c:pt>
              </c:strCache>
            </c:strRef>
          </c:cat>
          <c:val>
            <c:numRef>
              <c:f>Charts!$B$37:$B$46</c:f>
              <c:numCache>
                <c:formatCode>General</c:formatCode>
                <c:ptCount val="10"/>
                <c:pt idx="0">
                  <c:v>218</c:v>
                </c:pt>
                <c:pt idx="1">
                  <c:v>214</c:v>
                </c:pt>
                <c:pt idx="2">
                  <c:v>79</c:v>
                </c:pt>
                <c:pt idx="3">
                  <c:v>54</c:v>
                </c:pt>
                <c:pt idx="4">
                  <c:v>52</c:v>
                </c:pt>
                <c:pt idx="5">
                  <c:v>6</c:v>
                </c:pt>
                <c:pt idx="6">
                  <c:v>5</c:v>
                </c:pt>
                <c:pt idx="7">
                  <c:v>4</c:v>
                </c:pt>
                <c:pt idx="8">
                  <c:v>4</c:v>
                </c:pt>
                <c:pt idx="9">
                  <c:v>1</c:v>
                </c:pt>
              </c:numCache>
            </c:numRef>
          </c:val>
        </c:ser>
        <c:firstSliceAng val="0"/>
      </c:pieChart>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xdr:row>
      <xdr:rowOff>0</xdr:rowOff>
    </xdr:from>
    <xdr:to>
      <xdr:col>12</xdr:col>
      <xdr:colOff>507600</xdr:colOff>
      <xdr:row>16</xdr:row>
      <xdr:rowOff>21960</xdr:rowOff>
    </xdr:to>
    <xdr:graphicFrame>
      <xdr:nvGraphicFramePr>
        <xdr:cNvPr id="0" name="Chart 1"/>
        <xdr:cNvGraphicFramePr/>
      </xdr:nvGraphicFramePr>
      <xdr:xfrm>
        <a:off x="3760560" y="19044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19</xdr:row>
      <xdr:rowOff>0</xdr:rowOff>
    </xdr:from>
    <xdr:to>
      <xdr:col>12</xdr:col>
      <xdr:colOff>507600</xdr:colOff>
      <xdr:row>37</xdr:row>
      <xdr:rowOff>170640</xdr:rowOff>
    </xdr:to>
    <xdr:graphicFrame>
      <xdr:nvGraphicFramePr>
        <xdr:cNvPr id="1" name="Chart 2"/>
        <xdr:cNvGraphicFramePr/>
      </xdr:nvGraphicFramePr>
      <xdr:xfrm>
        <a:off x="3760560" y="3619440"/>
        <a:ext cx="539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41</xdr:row>
      <xdr:rowOff>0</xdr:rowOff>
    </xdr:from>
    <xdr:to>
      <xdr:col>12</xdr:col>
      <xdr:colOff>507600</xdr:colOff>
      <xdr:row>56</xdr:row>
      <xdr:rowOff>22320</xdr:rowOff>
    </xdr:to>
    <xdr:graphicFrame>
      <xdr:nvGraphicFramePr>
        <xdr:cNvPr id="2" name="Chart 3"/>
        <xdr:cNvGraphicFramePr/>
      </xdr:nvGraphicFramePr>
      <xdr:xfrm>
        <a:off x="3760560" y="7810560"/>
        <a:ext cx="539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59</xdr:row>
      <xdr:rowOff>0</xdr:rowOff>
    </xdr:from>
    <xdr:to>
      <xdr:col>12</xdr:col>
      <xdr:colOff>507600</xdr:colOff>
      <xdr:row>76</xdr:row>
      <xdr:rowOff>1080</xdr:rowOff>
    </xdr:to>
    <xdr:graphicFrame>
      <xdr:nvGraphicFramePr>
        <xdr:cNvPr id="3" name="Chart 4"/>
        <xdr:cNvGraphicFramePr/>
      </xdr:nvGraphicFramePr>
      <xdr:xfrm>
        <a:off x="3760560" y="11239560"/>
        <a:ext cx="539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22"/>
    <col collapsed="false" customWidth="true" hidden="false" outlineLevel="0" max="4" min="4" style="0" width="21"/>
    <col collapsed="false" customWidth="true" hidden="false" outlineLevel="0" max="5" min="5" style="0" width="12"/>
    <col collapsed="false" customWidth="true" hidden="false" outlineLevel="0" max="6" min="6" style="0" width="30"/>
    <col collapsed="false" customWidth="true" hidden="false" outlineLevel="0" max="7" min="7" style="0" width="52"/>
    <col collapsed="false" customWidth="true" hidden="false" outlineLevel="0" max="8" min="8" style="0" width="18"/>
    <col collapsed="false" customWidth="true" hidden="false" outlineLevel="0" max="10" min="9" style="0" width="13"/>
    <col collapsed="false" customWidth="true" hidden="false" outlineLevel="0" max="11" min="11" style="0" width="18"/>
    <col collapsed="false" customWidth="true" hidden="false" outlineLevel="0" max="12" min="12" style="0" width="26"/>
    <col collapsed="false" customWidth="true" hidden="false" outlineLevel="0" max="13" min="13" style="0" width="20"/>
    <col collapsed="false" customWidth="true" hidden="false" outlineLevel="0" max="14" min="14" style="0" width="42"/>
    <col collapsed="false" customWidth="true" hidden="false" outlineLevel="0" max="15" min="15" style="0" width="16"/>
    <col collapsed="false" customWidth="true" hidden="false" outlineLevel="0" max="16" min="16" style="0" width="50"/>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57.45" hidden="false" customHeight="false" outlineLevel="0" collapsed="false">
      <c r="A2" s="2" t="s">
        <v>16</v>
      </c>
      <c r="B2" s="2" t="s">
        <v>17</v>
      </c>
      <c r="C2" s="2" t="s">
        <v>18</v>
      </c>
      <c r="D2" s="2" t="s">
        <v>19</v>
      </c>
      <c r="E2" s="2" t="s">
        <v>20</v>
      </c>
      <c r="F2" s="2" t="s">
        <v>21</v>
      </c>
      <c r="G2" s="2" t="s">
        <v>22</v>
      </c>
      <c r="H2" s="2" t="s">
        <v>23</v>
      </c>
      <c r="I2" s="2" t="s">
        <v>24</v>
      </c>
      <c r="J2" s="2" t="s">
        <v>25</v>
      </c>
      <c r="K2" s="2"/>
      <c r="L2" s="2" t="s">
        <v>26</v>
      </c>
      <c r="M2" s="2" t="s">
        <v>27</v>
      </c>
      <c r="N2" s="2" t="s">
        <v>28</v>
      </c>
      <c r="O2" s="2" t="s">
        <v>29</v>
      </c>
      <c r="P2" s="2" t="s">
        <v>30</v>
      </c>
    </row>
    <row r="3" customFormat="false" ht="102.2" hidden="false" customHeight="false" outlineLevel="0" collapsed="false">
      <c r="A3" s="2" t="s">
        <v>16</v>
      </c>
      <c r="B3" s="2" t="s">
        <v>31</v>
      </c>
      <c r="C3" s="2" t="s">
        <v>32</v>
      </c>
      <c r="D3" s="2" t="s">
        <v>19</v>
      </c>
      <c r="E3" s="2" t="s">
        <v>20</v>
      </c>
      <c r="F3" s="2" t="s">
        <v>33</v>
      </c>
      <c r="G3" s="2" t="s">
        <v>34</v>
      </c>
      <c r="H3" s="2" t="s">
        <v>35</v>
      </c>
      <c r="I3" s="2" t="s">
        <v>36</v>
      </c>
      <c r="J3" s="2" t="s">
        <v>25</v>
      </c>
      <c r="K3" s="2"/>
      <c r="L3" s="2" t="s">
        <v>37</v>
      </c>
      <c r="M3" s="2" t="s">
        <v>27</v>
      </c>
      <c r="N3" s="2" t="s">
        <v>38</v>
      </c>
      <c r="O3" s="2" t="s">
        <v>29</v>
      </c>
      <c r="P3" s="2" t="s">
        <v>39</v>
      </c>
    </row>
    <row r="4" customFormat="false" ht="79.85" hidden="false" customHeight="false" outlineLevel="0" collapsed="false">
      <c r="A4" s="2" t="s">
        <v>16</v>
      </c>
      <c r="B4" s="2" t="s">
        <v>17</v>
      </c>
      <c r="C4" s="2" t="s">
        <v>40</v>
      </c>
      <c r="D4" s="2" t="s">
        <v>19</v>
      </c>
      <c r="E4" s="2" t="s">
        <v>20</v>
      </c>
      <c r="F4" s="2" t="s">
        <v>41</v>
      </c>
      <c r="G4" s="2" t="s">
        <v>42</v>
      </c>
      <c r="H4" s="2" t="s">
        <v>43</v>
      </c>
      <c r="I4" s="2" t="s">
        <v>36</v>
      </c>
      <c r="J4" s="2" t="s">
        <v>44</v>
      </c>
      <c r="K4" s="2"/>
      <c r="L4" s="2" t="s">
        <v>45</v>
      </c>
      <c r="M4" s="2" t="s">
        <v>46</v>
      </c>
      <c r="N4" s="2" t="s">
        <v>47</v>
      </c>
      <c r="O4" s="2" t="s">
        <v>29</v>
      </c>
      <c r="P4" s="2" t="s">
        <v>48</v>
      </c>
    </row>
    <row r="5" customFormat="false" ht="79.85" hidden="false" customHeight="false" outlineLevel="0" collapsed="false">
      <c r="A5" s="2" t="s">
        <v>16</v>
      </c>
      <c r="B5" s="2" t="s">
        <v>17</v>
      </c>
      <c r="C5" s="2" t="s">
        <v>49</v>
      </c>
      <c r="D5" s="2" t="s">
        <v>50</v>
      </c>
      <c r="E5" s="2" t="s">
        <v>20</v>
      </c>
      <c r="F5" s="2" t="s">
        <v>51</v>
      </c>
      <c r="G5" s="2" t="s">
        <v>52</v>
      </c>
      <c r="H5" s="2" t="s">
        <v>43</v>
      </c>
      <c r="I5" s="2" t="s">
        <v>53</v>
      </c>
      <c r="J5" s="2" t="s">
        <v>44</v>
      </c>
      <c r="K5" s="2"/>
      <c r="L5" s="2" t="s">
        <v>54</v>
      </c>
      <c r="M5" s="2" t="s">
        <v>46</v>
      </c>
      <c r="N5" s="2" t="s">
        <v>55</v>
      </c>
      <c r="O5" s="2" t="s">
        <v>29</v>
      </c>
      <c r="P5" s="2" t="s">
        <v>56</v>
      </c>
    </row>
    <row r="6" customFormat="false" ht="135.8" hidden="false" customHeight="false" outlineLevel="0" collapsed="false">
      <c r="A6" s="2" t="s">
        <v>16</v>
      </c>
      <c r="B6" s="2" t="s">
        <v>17</v>
      </c>
      <c r="C6" s="2" t="s">
        <v>57</v>
      </c>
      <c r="D6" s="2" t="s">
        <v>50</v>
      </c>
      <c r="E6" s="2" t="s">
        <v>20</v>
      </c>
      <c r="F6" s="2" t="s">
        <v>58</v>
      </c>
      <c r="G6" s="2" t="s">
        <v>59</v>
      </c>
      <c r="H6" s="2" t="s">
        <v>60</v>
      </c>
      <c r="I6" s="2" t="s">
        <v>61</v>
      </c>
      <c r="J6" s="2" t="s">
        <v>44</v>
      </c>
      <c r="K6" s="2"/>
      <c r="L6" s="2" t="s">
        <v>62</v>
      </c>
      <c r="M6" s="2" t="s">
        <v>27</v>
      </c>
      <c r="N6" s="2" t="s">
        <v>63</v>
      </c>
      <c r="O6" s="2" t="s">
        <v>29</v>
      </c>
      <c r="P6" s="2" t="s">
        <v>64</v>
      </c>
    </row>
    <row r="7" customFormat="false" ht="68.65" hidden="false" customHeight="false" outlineLevel="0" collapsed="false">
      <c r="A7" s="2" t="s">
        <v>16</v>
      </c>
      <c r="B7" s="2" t="s">
        <v>65</v>
      </c>
      <c r="C7" s="2" t="s">
        <v>66</v>
      </c>
      <c r="D7" s="2" t="s">
        <v>50</v>
      </c>
      <c r="E7" s="2" t="s">
        <v>67</v>
      </c>
      <c r="F7" s="2" t="s">
        <v>68</v>
      </c>
      <c r="G7" s="2" t="s">
        <v>69</v>
      </c>
      <c r="H7" s="2" t="s">
        <v>35</v>
      </c>
      <c r="I7" s="2" t="s">
        <v>70</v>
      </c>
      <c r="J7" s="2" t="s">
        <v>25</v>
      </c>
      <c r="K7" s="2"/>
      <c r="L7" s="2" t="s">
        <v>71</v>
      </c>
      <c r="M7" s="2" t="s">
        <v>46</v>
      </c>
      <c r="N7" s="2" t="s">
        <v>72</v>
      </c>
      <c r="O7" s="2" t="s">
        <v>29</v>
      </c>
      <c r="P7" s="2" t="s">
        <v>73</v>
      </c>
    </row>
    <row r="8" customFormat="false" ht="57.45" hidden="false" customHeight="false" outlineLevel="0" collapsed="false">
      <c r="A8" s="2" t="s">
        <v>16</v>
      </c>
      <c r="B8" s="2" t="s">
        <v>17</v>
      </c>
      <c r="C8" s="2" t="s">
        <v>74</v>
      </c>
      <c r="D8" s="2" t="s">
        <v>50</v>
      </c>
      <c r="E8" s="2" t="s">
        <v>20</v>
      </c>
      <c r="F8" s="2" t="s">
        <v>75</v>
      </c>
      <c r="G8" s="2" t="s">
        <v>76</v>
      </c>
      <c r="H8" s="2" t="s">
        <v>35</v>
      </c>
      <c r="I8" s="2" t="s">
        <v>77</v>
      </c>
      <c r="J8" s="2" t="s">
        <v>25</v>
      </c>
      <c r="K8" s="2"/>
      <c r="L8" s="2" t="s">
        <v>78</v>
      </c>
      <c r="M8" s="2" t="s">
        <v>46</v>
      </c>
      <c r="N8" s="2" t="s">
        <v>79</v>
      </c>
      <c r="O8" s="2" t="s">
        <v>29</v>
      </c>
      <c r="P8" s="2" t="s">
        <v>80</v>
      </c>
    </row>
    <row r="9" customFormat="false" ht="68.65" hidden="false" customHeight="false" outlineLevel="0" collapsed="false">
      <c r="A9" s="2" t="s">
        <v>16</v>
      </c>
      <c r="B9" s="2" t="s">
        <v>17</v>
      </c>
      <c r="C9" s="2" t="s">
        <v>81</v>
      </c>
      <c r="D9" s="2" t="s">
        <v>50</v>
      </c>
      <c r="E9" s="2" t="s">
        <v>20</v>
      </c>
      <c r="F9" s="2" t="s">
        <v>82</v>
      </c>
      <c r="G9" s="2" t="s">
        <v>83</v>
      </c>
      <c r="H9" s="2" t="s">
        <v>35</v>
      </c>
      <c r="I9" s="2" t="s">
        <v>84</v>
      </c>
      <c r="J9" s="2" t="s">
        <v>25</v>
      </c>
      <c r="K9" s="2"/>
      <c r="L9" s="2" t="s">
        <v>85</v>
      </c>
      <c r="M9" s="2" t="s">
        <v>46</v>
      </c>
      <c r="N9" s="2" t="s">
        <v>86</v>
      </c>
      <c r="O9" s="2" t="s">
        <v>29</v>
      </c>
      <c r="P9" s="2" t="s">
        <v>87</v>
      </c>
    </row>
    <row r="10" customFormat="false" ht="124.6" hidden="false" customHeight="false" outlineLevel="0" collapsed="false">
      <c r="A10" s="2" t="s">
        <v>16</v>
      </c>
      <c r="B10" s="2" t="s">
        <v>17</v>
      </c>
      <c r="C10" s="2" t="s">
        <v>88</v>
      </c>
      <c r="D10" s="2" t="s">
        <v>89</v>
      </c>
      <c r="E10" s="2" t="s">
        <v>20</v>
      </c>
      <c r="F10" s="2" t="s">
        <v>90</v>
      </c>
      <c r="G10" s="2" t="s">
        <v>91</v>
      </c>
      <c r="H10" s="2" t="s">
        <v>43</v>
      </c>
      <c r="I10" s="2" t="s">
        <v>36</v>
      </c>
      <c r="J10" s="2" t="s">
        <v>92</v>
      </c>
      <c r="K10" s="2" t="s">
        <v>93</v>
      </c>
      <c r="L10" s="2" t="s">
        <v>94</v>
      </c>
      <c r="M10" s="2" t="s">
        <v>46</v>
      </c>
      <c r="N10" s="2" t="s">
        <v>95</v>
      </c>
      <c r="O10" s="2" t="s">
        <v>29</v>
      </c>
      <c r="P10" s="2" t="s">
        <v>96</v>
      </c>
    </row>
    <row r="11" customFormat="false" ht="79.85" hidden="false" customHeight="false" outlineLevel="0" collapsed="false">
      <c r="A11" s="2" t="s">
        <v>16</v>
      </c>
      <c r="B11" s="2" t="s">
        <v>17</v>
      </c>
      <c r="C11" s="2" t="s">
        <v>88</v>
      </c>
      <c r="D11" s="2" t="s">
        <v>89</v>
      </c>
      <c r="E11" s="2" t="s">
        <v>20</v>
      </c>
      <c r="F11" s="2" t="s">
        <v>97</v>
      </c>
      <c r="G11" s="2" t="s">
        <v>98</v>
      </c>
      <c r="H11" s="2" t="s">
        <v>99</v>
      </c>
      <c r="I11" s="2" t="s">
        <v>100</v>
      </c>
      <c r="J11" s="2" t="s">
        <v>44</v>
      </c>
      <c r="K11" s="2"/>
      <c r="L11" s="2" t="s">
        <v>101</v>
      </c>
      <c r="M11" s="2" t="s">
        <v>27</v>
      </c>
      <c r="N11" s="2" t="s">
        <v>102</v>
      </c>
      <c r="O11" s="2" t="s">
        <v>29</v>
      </c>
      <c r="P11" s="2" t="s">
        <v>103</v>
      </c>
    </row>
    <row r="12" customFormat="false" ht="46.25" hidden="false" customHeight="false" outlineLevel="0" collapsed="false">
      <c r="A12" s="2" t="s">
        <v>16</v>
      </c>
      <c r="B12" s="2" t="s">
        <v>17</v>
      </c>
      <c r="C12" s="2" t="s">
        <v>104</v>
      </c>
      <c r="D12" s="2" t="s">
        <v>89</v>
      </c>
      <c r="E12" s="2" t="s">
        <v>20</v>
      </c>
      <c r="F12" s="2" t="s">
        <v>105</v>
      </c>
      <c r="G12" s="2" t="s">
        <v>106</v>
      </c>
      <c r="H12" s="2" t="s">
        <v>107</v>
      </c>
      <c r="I12" s="2" t="s">
        <v>108</v>
      </c>
      <c r="J12" s="2" t="s">
        <v>44</v>
      </c>
      <c r="K12" s="2" t="s">
        <v>109</v>
      </c>
      <c r="L12" s="2" t="s">
        <v>110</v>
      </c>
      <c r="M12" s="2" t="s">
        <v>46</v>
      </c>
      <c r="N12" s="2" t="s">
        <v>111</v>
      </c>
      <c r="O12" s="2" t="s">
        <v>29</v>
      </c>
      <c r="P12" s="2" t="s">
        <v>112</v>
      </c>
    </row>
    <row r="13" customFormat="false" ht="124.6" hidden="false" customHeight="false" outlineLevel="0" collapsed="false">
      <c r="A13" s="2" t="s">
        <v>16</v>
      </c>
      <c r="B13" s="2" t="s">
        <v>17</v>
      </c>
      <c r="C13" s="2" t="s">
        <v>113</v>
      </c>
      <c r="D13" s="2" t="s">
        <v>89</v>
      </c>
      <c r="E13" s="2" t="s">
        <v>20</v>
      </c>
      <c r="F13" s="2" t="s">
        <v>114</v>
      </c>
      <c r="G13" s="2" t="s">
        <v>115</v>
      </c>
      <c r="H13" s="2" t="s">
        <v>116</v>
      </c>
      <c r="I13" s="2" t="s">
        <v>117</v>
      </c>
      <c r="J13" s="2" t="s">
        <v>118</v>
      </c>
      <c r="K13" s="2" t="s">
        <v>119</v>
      </c>
      <c r="L13" s="2" t="s">
        <v>120</v>
      </c>
      <c r="M13" s="2" t="s">
        <v>121</v>
      </c>
      <c r="N13" s="2" t="s">
        <v>122</v>
      </c>
      <c r="O13" s="2" t="s">
        <v>29</v>
      </c>
      <c r="P13" s="2" t="s">
        <v>123</v>
      </c>
    </row>
    <row r="14" customFormat="false" ht="91" hidden="false" customHeight="false" outlineLevel="0" collapsed="false">
      <c r="A14" s="2" t="s">
        <v>16</v>
      </c>
      <c r="B14" s="2" t="s">
        <v>17</v>
      </c>
      <c r="C14" s="2" t="s">
        <v>124</v>
      </c>
      <c r="D14" s="2" t="s">
        <v>89</v>
      </c>
      <c r="E14" s="2" t="s">
        <v>20</v>
      </c>
      <c r="F14" s="2" t="s">
        <v>125</v>
      </c>
      <c r="G14" s="2" t="s">
        <v>126</v>
      </c>
      <c r="H14" s="2" t="s">
        <v>99</v>
      </c>
      <c r="I14" s="2" t="s">
        <v>127</v>
      </c>
      <c r="J14" s="2" t="s">
        <v>44</v>
      </c>
      <c r="K14" s="2"/>
      <c r="L14" s="2" t="s">
        <v>128</v>
      </c>
      <c r="M14" s="2" t="s">
        <v>121</v>
      </c>
      <c r="N14" s="2" t="s">
        <v>129</v>
      </c>
      <c r="O14" s="2" t="s">
        <v>29</v>
      </c>
      <c r="P14" s="2" t="s">
        <v>130</v>
      </c>
    </row>
    <row r="15" customFormat="false" ht="91" hidden="false" customHeight="false" outlineLevel="0" collapsed="false">
      <c r="A15" s="2" t="s">
        <v>16</v>
      </c>
      <c r="B15" s="2" t="s">
        <v>17</v>
      </c>
      <c r="C15" s="2" t="s">
        <v>131</v>
      </c>
      <c r="D15" s="2" t="s">
        <v>89</v>
      </c>
      <c r="E15" s="2" t="s">
        <v>20</v>
      </c>
      <c r="F15" s="2" t="s">
        <v>132</v>
      </c>
      <c r="G15" s="2" t="s">
        <v>133</v>
      </c>
      <c r="H15" s="2" t="s">
        <v>43</v>
      </c>
      <c r="I15" s="2" t="s">
        <v>36</v>
      </c>
      <c r="J15" s="2" t="s">
        <v>44</v>
      </c>
      <c r="K15" s="2" t="s">
        <v>134</v>
      </c>
      <c r="L15" s="2" t="s">
        <v>135</v>
      </c>
      <c r="M15" s="2" t="s">
        <v>46</v>
      </c>
      <c r="N15" s="2" t="s">
        <v>136</v>
      </c>
      <c r="O15" s="2" t="s">
        <v>29</v>
      </c>
      <c r="P15" s="2" t="s">
        <v>137</v>
      </c>
    </row>
    <row r="16" customFormat="false" ht="79.85" hidden="false" customHeight="false" outlineLevel="0" collapsed="false">
      <c r="A16" s="2" t="s">
        <v>16</v>
      </c>
      <c r="B16" s="2" t="s">
        <v>17</v>
      </c>
      <c r="C16" s="2" t="s">
        <v>138</v>
      </c>
      <c r="D16" s="2" t="s">
        <v>139</v>
      </c>
      <c r="E16" s="2" t="s">
        <v>140</v>
      </c>
      <c r="F16" s="2" t="s">
        <v>141</v>
      </c>
      <c r="G16" s="2" t="s">
        <v>142</v>
      </c>
      <c r="H16" s="2" t="s">
        <v>143</v>
      </c>
      <c r="I16" s="2" t="s">
        <v>144</v>
      </c>
      <c r="J16" s="2" t="s">
        <v>44</v>
      </c>
      <c r="K16" s="2"/>
      <c r="L16" s="2" t="s">
        <v>145</v>
      </c>
      <c r="M16" s="2" t="s">
        <v>27</v>
      </c>
      <c r="N16" s="2" t="s">
        <v>146</v>
      </c>
      <c r="O16" s="2" t="s">
        <v>29</v>
      </c>
      <c r="P16" s="2" t="s">
        <v>147</v>
      </c>
    </row>
    <row r="17" customFormat="false" ht="68.65" hidden="false" customHeight="false" outlineLevel="0" collapsed="false">
      <c r="A17" s="2" t="s">
        <v>16</v>
      </c>
      <c r="B17" s="2" t="s">
        <v>17</v>
      </c>
      <c r="C17" s="2" t="s">
        <v>148</v>
      </c>
      <c r="D17" s="2" t="s">
        <v>139</v>
      </c>
      <c r="E17" s="2" t="s">
        <v>140</v>
      </c>
      <c r="F17" s="2" t="s">
        <v>149</v>
      </c>
      <c r="G17" s="2" t="s">
        <v>150</v>
      </c>
      <c r="H17" s="2" t="s">
        <v>35</v>
      </c>
      <c r="I17" s="2" t="s">
        <v>151</v>
      </c>
      <c r="J17" s="2" t="s">
        <v>25</v>
      </c>
      <c r="K17" s="2"/>
      <c r="L17" s="2" t="s">
        <v>152</v>
      </c>
      <c r="M17" s="2" t="s">
        <v>27</v>
      </c>
      <c r="N17" s="2" t="s">
        <v>153</v>
      </c>
      <c r="O17" s="2" t="s">
        <v>29</v>
      </c>
      <c r="P17" s="2" t="s">
        <v>154</v>
      </c>
    </row>
    <row r="18" customFormat="false" ht="57.45" hidden="false" customHeight="false" outlineLevel="0" collapsed="false">
      <c r="A18" s="2" t="s">
        <v>16</v>
      </c>
      <c r="B18" s="2" t="s">
        <v>31</v>
      </c>
      <c r="C18" s="2" t="s">
        <v>155</v>
      </c>
      <c r="D18" s="2" t="s">
        <v>139</v>
      </c>
      <c r="E18" s="2" t="s">
        <v>140</v>
      </c>
      <c r="F18" s="2" t="s">
        <v>156</v>
      </c>
      <c r="G18" s="2" t="s">
        <v>157</v>
      </c>
      <c r="H18" s="2" t="s">
        <v>35</v>
      </c>
      <c r="I18" s="2" t="s">
        <v>158</v>
      </c>
      <c r="J18" s="2" t="s">
        <v>25</v>
      </c>
      <c r="K18" s="2"/>
      <c r="L18" s="2" t="s">
        <v>159</v>
      </c>
      <c r="M18" s="2" t="s">
        <v>160</v>
      </c>
      <c r="N18" s="2" t="s">
        <v>161</v>
      </c>
      <c r="O18" s="2" t="s">
        <v>29</v>
      </c>
      <c r="P18" s="2" t="s">
        <v>162</v>
      </c>
    </row>
    <row r="19" customFormat="false" ht="180.55" hidden="false" customHeight="false" outlineLevel="0" collapsed="false">
      <c r="A19" s="2" t="s">
        <v>16</v>
      </c>
      <c r="B19" s="2" t="s">
        <v>17</v>
      </c>
      <c r="C19" s="2" t="s">
        <v>163</v>
      </c>
      <c r="D19" s="2" t="s">
        <v>139</v>
      </c>
      <c r="E19" s="2" t="s">
        <v>140</v>
      </c>
      <c r="F19" s="2" t="s">
        <v>164</v>
      </c>
      <c r="G19" s="2" t="s">
        <v>165</v>
      </c>
      <c r="H19" s="2" t="s">
        <v>43</v>
      </c>
      <c r="I19" s="2" t="s">
        <v>36</v>
      </c>
      <c r="J19" s="2" t="s">
        <v>44</v>
      </c>
      <c r="K19" s="2"/>
      <c r="L19" s="2" t="s">
        <v>166</v>
      </c>
      <c r="M19" s="2" t="s">
        <v>27</v>
      </c>
      <c r="N19" s="2" t="s">
        <v>167</v>
      </c>
      <c r="O19" s="2" t="s">
        <v>29</v>
      </c>
      <c r="P19" s="2" t="s">
        <v>168</v>
      </c>
    </row>
    <row r="20" customFormat="false" ht="68.65" hidden="false" customHeight="false" outlineLevel="0" collapsed="false">
      <c r="A20" s="2" t="s">
        <v>16</v>
      </c>
      <c r="B20" s="2" t="s">
        <v>169</v>
      </c>
      <c r="C20" s="2" t="s">
        <v>170</v>
      </c>
      <c r="D20" s="2" t="s">
        <v>139</v>
      </c>
      <c r="E20" s="2" t="s">
        <v>140</v>
      </c>
      <c r="F20" s="2" t="s">
        <v>171</v>
      </c>
      <c r="G20" s="2" t="s">
        <v>172</v>
      </c>
      <c r="H20" s="2" t="s">
        <v>35</v>
      </c>
      <c r="I20" s="2" t="s">
        <v>173</v>
      </c>
      <c r="J20" s="2" t="s">
        <v>25</v>
      </c>
      <c r="K20" s="2"/>
      <c r="L20" s="2" t="s">
        <v>174</v>
      </c>
      <c r="M20" s="2" t="s">
        <v>46</v>
      </c>
      <c r="N20" s="2" t="s">
        <v>175</v>
      </c>
      <c r="O20" s="2" t="s">
        <v>29</v>
      </c>
      <c r="P20" s="2" t="s">
        <v>176</v>
      </c>
    </row>
    <row r="21" customFormat="false" ht="46.25" hidden="false" customHeight="false" outlineLevel="0" collapsed="false">
      <c r="A21" s="3" t="s">
        <v>16</v>
      </c>
      <c r="B21" s="3" t="s">
        <v>17</v>
      </c>
      <c r="C21" s="3" t="s">
        <v>177</v>
      </c>
      <c r="D21" s="3" t="s">
        <v>139</v>
      </c>
      <c r="E21" s="3" t="s">
        <v>140</v>
      </c>
      <c r="F21" s="3" t="s">
        <v>178</v>
      </c>
      <c r="G21" s="3" t="s">
        <v>179</v>
      </c>
      <c r="H21" s="3" t="s">
        <v>35</v>
      </c>
      <c r="I21" s="3" t="s">
        <v>180</v>
      </c>
      <c r="J21" s="3" t="s">
        <v>25</v>
      </c>
      <c r="K21" s="3"/>
      <c r="L21" s="3" t="s">
        <v>181</v>
      </c>
      <c r="M21" s="3" t="s">
        <v>46</v>
      </c>
      <c r="N21" s="3" t="s">
        <v>182</v>
      </c>
      <c r="O21" s="3" t="s">
        <v>183</v>
      </c>
      <c r="P21" s="3" t="s">
        <v>184</v>
      </c>
    </row>
    <row r="22" customFormat="false" ht="57.45" hidden="false" customHeight="false" outlineLevel="0" collapsed="false">
      <c r="A22" s="2" t="s">
        <v>16</v>
      </c>
      <c r="B22" s="2" t="s">
        <v>17</v>
      </c>
      <c r="C22" s="2" t="s">
        <v>185</v>
      </c>
      <c r="D22" s="2" t="s">
        <v>139</v>
      </c>
      <c r="E22" s="2" t="s">
        <v>140</v>
      </c>
      <c r="F22" s="2" t="s">
        <v>186</v>
      </c>
      <c r="G22" s="2" t="s">
        <v>187</v>
      </c>
      <c r="H22" s="2" t="s">
        <v>35</v>
      </c>
      <c r="I22" s="2" t="s">
        <v>188</v>
      </c>
      <c r="J22" s="2" t="s">
        <v>25</v>
      </c>
      <c r="K22" s="2"/>
      <c r="L22" s="2" t="s">
        <v>189</v>
      </c>
      <c r="M22" s="2" t="s">
        <v>27</v>
      </c>
      <c r="N22" s="2" t="s">
        <v>190</v>
      </c>
      <c r="O22" s="2" t="s">
        <v>29</v>
      </c>
      <c r="P22" s="2" t="s">
        <v>191</v>
      </c>
    </row>
    <row r="23" customFormat="false" ht="91" hidden="false" customHeight="false" outlineLevel="0" collapsed="false">
      <c r="A23" s="2" t="s">
        <v>16</v>
      </c>
      <c r="B23" s="2" t="s">
        <v>17</v>
      </c>
      <c r="C23" s="2" t="s">
        <v>192</v>
      </c>
      <c r="D23" s="2" t="s">
        <v>193</v>
      </c>
      <c r="E23" s="2" t="s">
        <v>20</v>
      </c>
      <c r="F23" s="2" t="s">
        <v>194</v>
      </c>
      <c r="G23" s="2" t="s">
        <v>195</v>
      </c>
      <c r="H23" s="2" t="s">
        <v>196</v>
      </c>
      <c r="I23" s="2" t="s">
        <v>197</v>
      </c>
      <c r="J23" s="2" t="s">
        <v>44</v>
      </c>
      <c r="K23" s="2"/>
      <c r="L23" s="2" t="s">
        <v>198</v>
      </c>
      <c r="M23" s="2" t="s">
        <v>160</v>
      </c>
      <c r="N23" s="2" t="s">
        <v>199</v>
      </c>
      <c r="O23" s="2" t="s">
        <v>29</v>
      </c>
      <c r="P23" s="2" t="s">
        <v>200</v>
      </c>
    </row>
    <row r="24" customFormat="false" ht="135.8" hidden="false" customHeight="false" outlineLevel="0" collapsed="false">
      <c r="A24" s="2" t="s">
        <v>16</v>
      </c>
      <c r="B24" s="2" t="s">
        <v>17</v>
      </c>
      <c r="C24" s="2" t="s">
        <v>201</v>
      </c>
      <c r="D24" s="2" t="s">
        <v>193</v>
      </c>
      <c r="E24" s="2" t="s">
        <v>20</v>
      </c>
      <c r="F24" s="2" t="s">
        <v>202</v>
      </c>
      <c r="G24" s="2" t="s">
        <v>203</v>
      </c>
      <c r="H24" s="2" t="s">
        <v>43</v>
      </c>
      <c r="I24" s="2" t="s">
        <v>204</v>
      </c>
      <c r="J24" s="2" t="s">
        <v>44</v>
      </c>
      <c r="K24" s="2" t="s">
        <v>205</v>
      </c>
      <c r="L24" s="2" t="s">
        <v>206</v>
      </c>
      <c r="M24" s="2" t="s">
        <v>46</v>
      </c>
      <c r="N24" s="2" t="s">
        <v>207</v>
      </c>
      <c r="O24" s="2" t="s">
        <v>29</v>
      </c>
      <c r="P24" s="2" t="s">
        <v>208</v>
      </c>
    </row>
    <row r="25" customFormat="false" ht="79.85" hidden="false" customHeight="false" outlineLevel="0" collapsed="false">
      <c r="A25" s="2" t="s">
        <v>16</v>
      </c>
      <c r="B25" s="2" t="s">
        <v>17</v>
      </c>
      <c r="C25" s="2" t="s">
        <v>209</v>
      </c>
      <c r="D25" s="2" t="s">
        <v>193</v>
      </c>
      <c r="E25" s="2" t="s">
        <v>20</v>
      </c>
      <c r="F25" s="2" t="s">
        <v>210</v>
      </c>
      <c r="G25" s="2" t="s">
        <v>211</v>
      </c>
      <c r="H25" s="2" t="s">
        <v>212</v>
      </c>
      <c r="I25" s="2" t="s">
        <v>36</v>
      </c>
      <c r="J25" s="2" t="s">
        <v>44</v>
      </c>
      <c r="K25" s="2"/>
      <c r="L25" s="2" t="s">
        <v>213</v>
      </c>
      <c r="M25" s="2" t="s">
        <v>27</v>
      </c>
      <c r="N25" s="2" t="s">
        <v>214</v>
      </c>
      <c r="O25" s="2" t="s">
        <v>29</v>
      </c>
      <c r="P25" s="2" t="s">
        <v>215</v>
      </c>
    </row>
    <row r="26" customFormat="false" ht="191.75" hidden="false" customHeight="false" outlineLevel="0" collapsed="false">
      <c r="A26" s="2" t="s">
        <v>16</v>
      </c>
      <c r="B26" s="2" t="s">
        <v>17</v>
      </c>
      <c r="C26" s="2" t="s">
        <v>216</v>
      </c>
      <c r="D26" s="2" t="s">
        <v>193</v>
      </c>
      <c r="E26" s="2" t="s">
        <v>20</v>
      </c>
      <c r="F26" s="2" t="s">
        <v>217</v>
      </c>
      <c r="G26" s="2" t="s">
        <v>218</v>
      </c>
      <c r="H26" s="2" t="s">
        <v>212</v>
      </c>
      <c r="I26" s="2" t="s">
        <v>219</v>
      </c>
      <c r="J26" s="2" t="s">
        <v>44</v>
      </c>
      <c r="K26" s="2"/>
      <c r="L26" s="2" t="s">
        <v>220</v>
      </c>
      <c r="M26" s="2" t="s">
        <v>27</v>
      </c>
      <c r="N26" s="2" t="s">
        <v>221</v>
      </c>
      <c r="O26" s="2" t="s">
        <v>29</v>
      </c>
      <c r="P26" s="2" t="s">
        <v>222</v>
      </c>
    </row>
    <row r="27" customFormat="false" ht="68.65" hidden="false" customHeight="false" outlineLevel="0" collapsed="false">
      <c r="A27" s="2" t="s">
        <v>16</v>
      </c>
      <c r="B27" s="2" t="s">
        <v>169</v>
      </c>
      <c r="C27" s="2" t="s">
        <v>223</v>
      </c>
      <c r="D27" s="2" t="s">
        <v>193</v>
      </c>
      <c r="E27" s="2" t="s">
        <v>20</v>
      </c>
      <c r="F27" s="2" t="s">
        <v>224</v>
      </c>
      <c r="G27" s="2" t="s">
        <v>225</v>
      </c>
      <c r="H27" s="2" t="s">
        <v>212</v>
      </c>
      <c r="I27" s="2" t="s">
        <v>226</v>
      </c>
      <c r="J27" s="2" t="s">
        <v>44</v>
      </c>
      <c r="K27" s="2"/>
      <c r="L27" s="2" t="s">
        <v>227</v>
      </c>
      <c r="M27" s="2" t="s">
        <v>27</v>
      </c>
      <c r="N27" s="2" t="s">
        <v>228</v>
      </c>
      <c r="O27" s="2" t="s">
        <v>29</v>
      </c>
      <c r="P27" s="2" t="s">
        <v>229</v>
      </c>
    </row>
    <row r="28" customFormat="false" ht="91" hidden="false" customHeight="false" outlineLevel="0" collapsed="false">
      <c r="A28" s="2" t="s">
        <v>16</v>
      </c>
      <c r="B28" s="2" t="s">
        <v>17</v>
      </c>
      <c r="C28" s="2" t="s">
        <v>230</v>
      </c>
      <c r="D28" s="2" t="s">
        <v>193</v>
      </c>
      <c r="E28" s="2" t="s">
        <v>20</v>
      </c>
      <c r="F28" s="2" t="s">
        <v>231</v>
      </c>
      <c r="G28" s="2" t="s">
        <v>232</v>
      </c>
      <c r="H28" s="2" t="s">
        <v>212</v>
      </c>
      <c r="I28" s="2" t="s">
        <v>233</v>
      </c>
      <c r="J28" s="2" t="s">
        <v>44</v>
      </c>
      <c r="K28" s="2"/>
      <c r="L28" s="2" t="s">
        <v>234</v>
      </c>
      <c r="M28" s="2" t="s">
        <v>27</v>
      </c>
      <c r="N28" s="2" t="s">
        <v>235</v>
      </c>
      <c r="O28" s="2" t="s">
        <v>29</v>
      </c>
      <c r="P28" s="2" t="s">
        <v>236</v>
      </c>
    </row>
    <row r="29" customFormat="false" ht="91" hidden="false" customHeight="false" outlineLevel="0" collapsed="false">
      <c r="A29" s="2" t="s">
        <v>16</v>
      </c>
      <c r="B29" s="2" t="s">
        <v>17</v>
      </c>
      <c r="C29" s="2" t="s">
        <v>237</v>
      </c>
      <c r="D29" s="2" t="s">
        <v>193</v>
      </c>
      <c r="E29" s="2" t="s">
        <v>20</v>
      </c>
      <c r="F29" s="2" t="s">
        <v>238</v>
      </c>
      <c r="G29" s="2" t="s">
        <v>239</v>
      </c>
      <c r="H29" s="2" t="s">
        <v>240</v>
      </c>
      <c r="I29" s="2" t="s">
        <v>241</v>
      </c>
      <c r="J29" s="2" t="s">
        <v>92</v>
      </c>
      <c r="K29" s="2"/>
      <c r="L29" s="2" t="s">
        <v>242</v>
      </c>
      <c r="M29" s="2" t="s">
        <v>243</v>
      </c>
      <c r="N29" s="2" t="s">
        <v>244</v>
      </c>
      <c r="O29" s="2" t="s">
        <v>29</v>
      </c>
      <c r="P29" s="2" t="s">
        <v>245</v>
      </c>
    </row>
    <row r="30" customFormat="false" ht="91" hidden="false" customHeight="false" outlineLevel="0" collapsed="false">
      <c r="A30" s="2" t="s">
        <v>16</v>
      </c>
      <c r="B30" s="2" t="s">
        <v>17</v>
      </c>
      <c r="C30" s="2" t="s">
        <v>246</v>
      </c>
      <c r="D30" s="2" t="s">
        <v>247</v>
      </c>
      <c r="E30" s="2" t="s">
        <v>67</v>
      </c>
      <c r="F30" s="2" t="s">
        <v>248</v>
      </c>
      <c r="G30" s="2" t="s">
        <v>249</v>
      </c>
      <c r="H30" s="2" t="s">
        <v>107</v>
      </c>
      <c r="I30" s="2" t="s">
        <v>250</v>
      </c>
      <c r="J30" s="2" t="s">
        <v>44</v>
      </c>
      <c r="K30" s="2"/>
      <c r="L30" s="2" t="s">
        <v>251</v>
      </c>
      <c r="M30" s="2" t="s">
        <v>46</v>
      </c>
      <c r="N30" s="2" t="s">
        <v>252</v>
      </c>
      <c r="O30" s="2" t="s">
        <v>29</v>
      </c>
      <c r="P30" s="2" t="s">
        <v>253</v>
      </c>
    </row>
    <row r="31" customFormat="false" ht="79.85" hidden="false" customHeight="false" outlineLevel="0" collapsed="false">
      <c r="A31" s="2" t="s">
        <v>16</v>
      </c>
      <c r="B31" s="2" t="s">
        <v>254</v>
      </c>
      <c r="C31" s="2" t="s">
        <v>255</v>
      </c>
      <c r="D31" s="2" t="s">
        <v>247</v>
      </c>
      <c r="E31" s="2" t="s">
        <v>67</v>
      </c>
      <c r="F31" s="2" t="s">
        <v>256</v>
      </c>
      <c r="G31" s="2" t="s">
        <v>257</v>
      </c>
      <c r="H31" s="2" t="s">
        <v>258</v>
      </c>
      <c r="I31" s="2" t="s">
        <v>36</v>
      </c>
      <c r="J31" s="2" t="s">
        <v>25</v>
      </c>
      <c r="K31" s="2"/>
      <c r="L31" s="2" t="s">
        <v>259</v>
      </c>
      <c r="M31" s="2" t="s">
        <v>46</v>
      </c>
      <c r="N31" s="2" t="s">
        <v>260</v>
      </c>
      <c r="O31" s="2" t="s">
        <v>29</v>
      </c>
      <c r="P31" s="2" t="s">
        <v>261</v>
      </c>
    </row>
    <row r="32" customFormat="false" ht="57.45" hidden="false" customHeight="false" outlineLevel="0" collapsed="false">
      <c r="A32" s="2" t="s">
        <v>16</v>
      </c>
      <c r="B32" s="2" t="s">
        <v>17</v>
      </c>
      <c r="C32" s="2" t="s">
        <v>262</v>
      </c>
      <c r="D32" s="2" t="s">
        <v>247</v>
      </c>
      <c r="E32" s="2" t="s">
        <v>67</v>
      </c>
      <c r="F32" s="2" t="s">
        <v>263</v>
      </c>
      <c r="G32" s="2" t="s">
        <v>264</v>
      </c>
      <c r="H32" s="2" t="s">
        <v>265</v>
      </c>
      <c r="I32" s="2" t="s">
        <v>266</v>
      </c>
      <c r="J32" s="2" t="s">
        <v>25</v>
      </c>
      <c r="K32" s="2"/>
      <c r="L32" s="2" t="s">
        <v>259</v>
      </c>
      <c r="M32" s="2" t="s">
        <v>46</v>
      </c>
      <c r="N32" s="2" t="s">
        <v>267</v>
      </c>
      <c r="O32" s="2" t="s">
        <v>29</v>
      </c>
      <c r="P32" s="2" t="s">
        <v>268</v>
      </c>
    </row>
    <row r="33" customFormat="false" ht="68.65" hidden="false" customHeight="false" outlineLevel="0" collapsed="false">
      <c r="A33" s="2" t="s">
        <v>16</v>
      </c>
      <c r="B33" s="2" t="s">
        <v>17</v>
      </c>
      <c r="C33" s="2" t="s">
        <v>269</v>
      </c>
      <c r="D33" s="2" t="s">
        <v>247</v>
      </c>
      <c r="E33" s="2" t="s">
        <v>67</v>
      </c>
      <c r="F33" s="2" t="s">
        <v>270</v>
      </c>
      <c r="G33" s="2" t="s">
        <v>271</v>
      </c>
      <c r="H33" s="2" t="s">
        <v>43</v>
      </c>
      <c r="I33" s="2" t="s">
        <v>272</v>
      </c>
      <c r="J33" s="2" t="s">
        <v>44</v>
      </c>
      <c r="K33" s="2"/>
      <c r="L33" s="2" t="s">
        <v>273</v>
      </c>
      <c r="M33" s="2" t="s">
        <v>46</v>
      </c>
      <c r="N33" s="2" t="s">
        <v>274</v>
      </c>
      <c r="O33" s="2" t="s">
        <v>29</v>
      </c>
      <c r="P33" s="2" t="s">
        <v>275</v>
      </c>
    </row>
    <row r="34" customFormat="false" ht="68.65" hidden="false" customHeight="false" outlineLevel="0" collapsed="false">
      <c r="A34" s="2" t="s">
        <v>16</v>
      </c>
      <c r="B34" s="2" t="s">
        <v>31</v>
      </c>
      <c r="C34" s="2" t="s">
        <v>276</v>
      </c>
      <c r="D34" s="2" t="s">
        <v>247</v>
      </c>
      <c r="E34" s="2" t="s">
        <v>67</v>
      </c>
      <c r="F34" s="2" t="s">
        <v>277</v>
      </c>
      <c r="G34" s="2" t="s">
        <v>278</v>
      </c>
      <c r="H34" s="2" t="s">
        <v>258</v>
      </c>
      <c r="I34" s="2" t="s">
        <v>279</v>
      </c>
      <c r="J34" s="2" t="s">
        <v>25</v>
      </c>
      <c r="K34" s="2"/>
      <c r="L34" s="2" t="s">
        <v>280</v>
      </c>
      <c r="M34" s="2" t="s">
        <v>46</v>
      </c>
      <c r="N34" s="2" t="s">
        <v>281</v>
      </c>
      <c r="O34" s="2" t="s">
        <v>29</v>
      </c>
      <c r="P34" s="2" t="s">
        <v>282</v>
      </c>
    </row>
    <row r="35" customFormat="false" ht="68.65" hidden="false" customHeight="false" outlineLevel="0" collapsed="false">
      <c r="A35" s="2" t="s">
        <v>16</v>
      </c>
      <c r="B35" s="2" t="s">
        <v>17</v>
      </c>
      <c r="C35" s="2" t="s">
        <v>283</v>
      </c>
      <c r="D35" s="2" t="s">
        <v>247</v>
      </c>
      <c r="E35" s="2" t="s">
        <v>67</v>
      </c>
      <c r="F35" s="2" t="s">
        <v>284</v>
      </c>
      <c r="G35" s="2" t="s">
        <v>285</v>
      </c>
      <c r="H35" s="2" t="s">
        <v>43</v>
      </c>
      <c r="I35" s="2" t="s">
        <v>53</v>
      </c>
      <c r="J35" s="2" t="s">
        <v>44</v>
      </c>
      <c r="K35" s="2"/>
      <c r="L35" s="2" t="s">
        <v>206</v>
      </c>
      <c r="M35" s="2" t="s">
        <v>46</v>
      </c>
      <c r="N35" s="2" t="s">
        <v>286</v>
      </c>
      <c r="O35" s="2" t="s">
        <v>29</v>
      </c>
      <c r="P35" s="2" t="s">
        <v>287</v>
      </c>
    </row>
    <row r="36" customFormat="false" ht="68.65" hidden="false" customHeight="false" outlineLevel="0" collapsed="false">
      <c r="A36" s="2" t="s">
        <v>16</v>
      </c>
      <c r="B36" s="2" t="s">
        <v>288</v>
      </c>
      <c r="C36" s="2" t="s">
        <v>289</v>
      </c>
      <c r="D36" s="2" t="s">
        <v>247</v>
      </c>
      <c r="E36" s="2" t="s">
        <v>67</v>
      </c>
      <c r="F36" s="2" t="s">
        <v>290</v>
      </c>
      <c r="G36" s="2" t="s">
        <v>291</v>
      </c>
      <c r="H36" s="2" t="s">
        <v>292</v>
      </c>
      <c r="I36" s="2" t="s">
        <v>293</v>
      </c>
      <c r="J36" s="2" t="s">
        <v>25</v>
      </c>
      <c r="K36" s="2"/>
      <c r="L36" s="2" t="s">
        <v>294</v>
      </c>
      <c r="M36" s="2" t="s">
        <v>27</v>
      </c>
      <c r="N36" s="2" t="s">
        <v>295</v>
      </c>
      <c r="O36" s="2" t="s">
        <v>29</v>
      </c>
      <c r="P36" s="2" t="s">
        <v>296</v>
      </c>
    </row>
    <row r="37" customFormat="false" ht="57.45" hidden="false" customHeight="false" outlineLevel="0" collapsed="false">
      <c r="A37" s="2" t="s">
        <v>16</v>
      </c>
      <c r="B37" s="2" t="s">
        <v>17</v>
      </c>
      <c r="C37" s="2" t="s">
        <v>297</v>
      </c>
      <c r="D37" s="2" t="s">
        <v>247</v>
      </c>
      <c r="E37" s="2" t="s">
        <v>67</v>
      </c>
      <c r="F37" s="2" t="s">
        <v>298</v>
      </c>
      <c r="G37" s="2" t="s">
        <v>299</v>
      </c>
      <c r="H37" s="2" t="s">
        <v>240</v>
      </c>
      <c r="I37" s="2" t="s">
        <v>300</v>
      </c>
      <c r="J37" s="2" t="s">
        <v>25</v>
      </c>
      <c r="K37" s="2"/>
      <c r="L37" s="2" t="s">
        <v>301</v>
      </c>
      <c r="M37" s="2" t="s">
        <v>27</v>
      </c>
      <c r="N37" s="2" t="s">
        <v>302</v>
      </c>
      <c r="O37" s="2" t="s">
        <v>29</v>
      </c>
      <c r="P37" s="2" t="s">
        <v>303</v>
      </c>
    </row>
    <row r="38" customFormat="false" ht="68.65" hidden="false" customHeight="false" outlineLevel="0" collapsed="false">
      <c r="A38" s="2" t="s">
        <v>16</v>
      </c>
      <c r="B38" s="2" t="s">
        <v>17</v>
      </c>
      <c r="C38" s="2" t="s">
        <v>304</v>
      </c>
      <c r="D38" s="2" t="s">
        <v>247</v>
      </c>
      <c r="E38" s="2" t="s">
        <v>67</v>
      </c>
      <c r="F38" s="2" t="s">
        <v>305</v>
      </c>
      <c r="G38" s="2" t="s">
        <v>306</v>
      </c>
      <c r="H38" s="2" t="s">
        <v>307</v>
      </c>
      <c r="I38" s="2" t="s">
        <v>308</v>
      </c>
      <c r="J38" s="2" t="s">
        <v>44</v>
      </c>
      <c r="K38" s="2"/>
      <c r="L38" s="2" t="s">
        <v>309</v>
      </c>
      <c r="M38" s="2" t="s">
        <v>27</v>
      </c>
      <c r="N38" s="2" t="s">
        <v>310</v>
      </c>
      <c r="O38" s="2" t="s">
        <v>29</v>
      </c>
      <c r="P38" s="2" t="s">
        <v>311</v>
      </c>
    </row>
    <row r="39" customFormat="false" ht="68.65" hidden="false" customHeight="false" outlineLevel="0" collapsed="false">
      <c r="A39" s="2" t="s">
        <v>16</v>
      </c>
      <c r="B39" s="2" t="s">
        <v>17</v>
      </c>
      <c r="C39" s="2" t="s">
        <v>312</v>
      </c>
      <c r="D39" s="2" t="s">
        <v>247</v>
      </c>
      <c r="E39" s="2" t="s">
        <v>67</v>
      </c>
      <c r="F39" s="2" t="s">
        <v>313</v>
      </c>
      <c r="G39" s="2" t="s">
        <v>314</v>
      </c>
      <c r="H39" s="2" t="s">
        <v>265</v>
      </c>
      <c r="I39" s="2" t="s">
        <v>315</v>
      </c>
      <c r="J39" s="2" t="s">
        <v>25</v>
      </c>
      <c r="K39" s="2"/>
      <c r="L39" s="2" t="s">
        <v>316</v>
      </c>
      <c r="M39" s="2" t="s">
        <v>46</v>
      </c>
      <c r="N39" s="2" t="s">
        <v>317</v>
      </c>
      <c r="O39" s="2" t="s">
        <v>29</v>
      </c>
      <c r="P39" s="2" t="s">
        <v>318</v>
      </c>
    </row>
    <row r="40" customFormat="false" ht="57.45" hidden="false" customHeight="false" outlineLevel="0" collapsed="false">
      <c r="A40" s="2" t="s">
        <v>16</v>
      </c>
      <c r="B40" s="2" t="s">
        <v>17</v>
      </c>
      <c r="C40" s="2" t="s">
        <v>319</v>
      </c>
      <c r="D40" s="2" t="s">
        <v>320</v>
      </c>
      <c r="E40" s="2" t="s">
        <v>20</v>
      </c>
      <c r="F40" s="2" t="s">
        <v>321</v>
      </c>
      <c r="G40" s="2" t="s">
        <v>322</v>
      </c>
      <c r="H40" s="2" t="s">
        <v>43</v>
      </c>
      <c r="I40" s="2" t="s">
        <v>323</v>
      </c>
      <c r="J40" s="2" t="s">
        <v>44</v>
      </c>
      <c r="K40" s="2"/>
      <c r="L40" s="2" t="s">
        <v>324</v>
      </c>
      <c r="M40" s="2" t="s">
        <v>46</v>
      </c>
      <c r="N40" s="2" t="s">
        <v>325</v>
      </c>
      <c r="O40" s="2" t="s">
        <v>29</v>
      </c>
      <c r="P40" s="2" t="s">
        <v>326</v>
      </c>
    </row>
    <row r="41" customFormat="false" ht="113.4" hidden="false" customHeight="false" outlineLevel="0" collapsed="false">
      <c r="A41" s="2" t="s">
        <v>16</v>
      </c>
      <c r="B41" s="2" t="s">
        <v>17</v>
      </c>
      <c r="C41" s="2" t="s">
        <v>327</v>
      </c>
      <c r="D41" s="2" t="s">
        <v>320</v>
      </c>
      <c r="E41" s="2" t="s">
        <v>20</v>
      </c>
      <c r="F41" s="2" t="s">
        <v>328</v>
      </c>
      <c r="G41" s="2" t="s">
        <v>329</v>
      </c>
      <c r="H41" s="2" t="s">
        <v>330</v>
      </c>
      <c r="I41" s="2" t="s">
        <v>331</v>
      </c>
      <c r="J41" s="2" t="s">
        <v>44</v>
      </c>
      <c r="K41" s="2"/>
      <c r="L41" s="2" t="s">
        <v>332</v>
      </c>
      <c r="M41" s="2" t="s">
        <v>27</v>
      </c>
      <c r="N41" s="2" t="s">
        <v>333</v>
      </c>
      <c r="O41" s="2" t="s">
        <v>29</v>
      </c>
      <c r="P41" s="2" t="s">
        <v>334</v>
      </c>
    </row>
    <row r="42" customFormat="false" ht="79.85" hidden="false" customHeight="false" outlineLevel="0" collapsed="false">
      <c r="A42" s="2" t="s">
        <v>16</v>
      </c>
      <c r="B42" s="2" t="s">
        <v>17</v>
      </c>
      <c r="C42" s="2" t="s">
        <v>335</v>
      </c>
      <c r="D42" s="2" t="s">
        <v>320</v>
      </c>
      <c r="E42" s="2" t="s">
        <v>20</v>
      </c>
      <c r="F42" s="2" t="s">
        <v>336</v>
      </c>
      <c r="G42" s="2" t="s">
        <v>337</v>
      </c>
      <c r="H42" s="2" t="s">
        <v>212</v>
      </c>
      <c r="I42" s="2" t="s">
        <v>338</v>
      </c>
      <c r="J42" s="2" t="s">
        <v>44</v>
      </c>
      <c r="K42" s="2"/>
      <c r="L42" s="2" t="s">
        <v>339</v>
      </c>
      <c r="M42" s="2" t="s">
        <v>243</v>
      </c>
      <c r="N42" s="2" t="s">
        <v>340</v>
      </c>
      <c r="O42" s="2" t="s">
        <v>29</v>
      </c>
      <c r="P42" s="2" t="s">
        <v>341</v>
      </c>
    </row>
    <row r="43" customFormat="false" ht="79.85" hidden="false" customHeight="false" outlineLevel="0" collapsed="false">
      <c r="A43" s="2" t="s">
        <v>16</v>
      </c>
      <c r="B43" s="2" t="s">
        <v>17</v>
      </c>
      <c r="C43" s="2" t="s">
        <v>327</v>
      </c>
      <c r="D43" s="2" t="s">
        <v>320</v>
      </c>
      <c r="E43" s="2" t="s">
        <v>20</v>
      </c>
      <c r="F43" s="2" t="s">
        <v>342</v>
      </c>
      <c r="G43" s="2" t="s">
        <v>343</v>
      </c>
      <c r="H43" s="2" t="s">
        <v>344</v>
      </c>
      <c r="I43" s="2" t="s">
        <v>345</v>
      </c>
      <c r="J43" s="2" t="s">
        <v>346</v>
      </c>
      <c r="K43" s="2"/>
      <c r="L43" s="2" t="s">
        <v>347</v>
      </c>
      <c r="M43" s="2" t="s">
        <v>46</v>
      </c>
      <c r="N43" s="2" t="s">
        <v>348</v>
      </c>
      <c r="O43" s="2" t="s">
        <v>29</v>
      </c>
      <c r="P43" s="2" t="s">
        <v>341</v>
      </c>
    </row>
    <row r="44" customFormat="false" ht="79.85" hidden="false" customHeight="false" outlineLevel="0" collapsed="false">
      <c r="A44" s="2" t="s">
        <v>16</v>
      </c>
      <c r="B44" s="2" t="s">
        <v>17</v>
      </c>
      <c r="C44" s="2" t="s">
        <v>349</v>
      </c>
      <c r="D44" s="2" t="s">
        <v>320</v>
      </c>
      <c r="E44" s="2" t="s">
        <v>20</v>
      </c>
      <c r="F44" s="2" t="s">
        <v>350</v>
      </c>
      <c r="G44" s="2" t="s">
        <v>351</v>
      </c>
      <c r="H44" s="2" t="s">
        <v>352</v>
      </c>
      <c r="I44" s="2" t="s">
        <v>53</v>
      </c>
      <c r="J44" s="2" t="s">
        <v>44</v>
      </c>
      <c r="K44" s="2"/>
      <c r="L44" s="2" t="s">
        <v>353</v>
      </c>
      <c r="M44" s="2" t="s">
        <v>121</v>
      </c>
      <c r="N44" s="2" t="s">
        <v>354</v>
      </c>
      <c r="O44" s="2" t="s">
        <v>29</v>
      </c>
      <c r="P44" s="2" t="s">
        <v>355</v>
      </c>
    </row>
    <row r="45" customFormat="false" ht="46.25" hidden="false" customHeight="false" outlineLevel="0" collapsed="false">
      <c r="A45" s="2" t="s">
        <v>16</v>
      </c>
      <c r="B45" s="2" t="s">
        <v>31</v>
      </c>
      <c r="C45" s="2" t="s">
        <v>349</v>
      </c>
      <c r="D45" s="2" t="s">
        <v>320</v>
      </c>
      <c r="E45" s="2" t="s">
        <v>20</v>
      </c>
      <c r="F45" s="2" t="s">
        <v>356</v>
      </c>
      <c r="G45" s="2" t="s">
        <v>357</v>
      </c>
      <c r="H45" s="2" t="s">
        <v>358</v>
      </c>
      <c r="I45" s="2" t="s">
        <v>359</v>
      </c>
      <c r="J45" s="2" t="s">
        <v>118</v>
      </c>
      <c r="K45" s="2"/>
      <c r="L45" s="2" t="s">
        <v>120</v>
      </c>
      <c r="M45" s="2" t="s">
        <v>121</v>
      </c>
      <c r="N45" s="2" t="s">
        <v>122</v>
      </c>
      <c r="O45" s="2" t="s">
        <v>29</v>
      </c>
      <c r="P45" s="2" t="s">
        <v>360</v>
      </c>
    </row>
    <row r="46" customFormat="false" ht="79.85" hidden="false" customHeight="false" outlineLevel="0" collapsed="false">
      <c r="A46" s="2" t="s">
        <v>16</v>
      </c>
      <c r="B46" s="2" t="s">
        <v>17</v>
      </c>
      <c r="C46" s="2" t="s">
        <v>361</v>
      </c>
      <c r="D46" s="2" t="s">
        <v>320</v>
      </c>
      <c r="E46" s="2" t="s">
        <v>20</v>
      </c>
      <c r="F46" s="2" t="s">
        <v>362</v>
      </c>
      <c r="G46" s="2" t="s">
        <v>363</v>
      </c>
      <c r="H46" s="2" t="s">
        <v>364</v>
      </c>
      <c r="I46" s="2" t="s">
        <v>365</v>
      </c>
      <c r="J46" s="2" t="s">
        <v>44</v>
      </c>
      <c r="K46" s="2"/>
      <c r="L46" s="2" t="s">
        <v>366</v>
      </c>
      <c r="M46" s="2" t="s">
        <v>160</v>
      </c>
      <c r="N46" s="2" t="s">
        <v>367</v>
      </c>
      <c r="O46" s="2" t="s">
        <v>29</v>
      </c>
      <c r="P46" s="2" t="s">
        <v>368</v>
      </c>
    </row>
    <row r="47" customFormat="false" ht="79.85" hidden="false" customHeight="false" outlineLevel="0" collapsed="false">
      <c r="A47" s="2" t="s">
        <v>16</v>
      </c>
      <c r="B47" s="2" t="s">
        <v>31</v>
      </c>
      <c r="C47" s="2" t="s">
        <v>369</v>
      </c>
      <c r="D47" s="2" t="s">
        <v>320</v>
      </c>
      <c r="E47" s="2" t="s">
        <v>20</v>
      </c>
      <c r="F47" s="2" t="s">
        <v>370</v>
      </c>
      <c r="G47" s="2" t="s">
        <v>371</v>
      </c>
      <c r="H47" s="2" t="s">
        <v>43</v>
      </c>
      <c r="I47" s="2" t="s">
        <v>372</v>
      </c>
      <c r="J47" s="2" t="s">
        <v>44</v>
      </c>
      <c r="K47" s="2"/>
      <c r="L47" s="2" t="s">
        <v>206</v>
      </c>
      <c r="M47" s="2" t="s">
        <v>46</v>
      </c>
      <c r="N47" s="2" t="s">
        <v>373</v>
      </c>
      <c r="O47" s="2" t="s">
        <v>29</v>
      </c>
      <c r="P47" s="2" t="s">
        <v>374</v>
      </c>
    </row>
    <row r="48" customFormat="false" ht="68.65" hidden="false" customHeight="false" outlineLevel="0" collapsed="false">
      <c r="A48" s="2" t="s">
        <v>16</v>
      </c>
      <c r="B48" s="2" t="s">
        <v>254</v>
      </c>
      <c r="C48" s="2" t="s">
        <v>375</v>
      </c>
      <c r="D48" s="2" t="s">
        <v>320</v>
      </c>
      <c r="E48" s="2" t="s">
        <v>140</v>
      </c>
      <c r="F48" s="2" t="s">
        <v>376</v>
      </c>
      <c r="G48" s="2" t="s">
        <v>377</v>
      </c>
      <c r="H48" s="2" t="s">
        <v>258</v>
      </c>
      <c r="I48" s="2" t="s">
        <v>378</v>
      </c>
      <c r="J48" s="2" t="s">
        <v>25</v>
      </c>
      <c r="K48" s="2"/>
      <c r="L48" s="2" t="s">
        <v>379</v>
      </c>
      <c r="M48" s="2" t="s">
        <v>46</v>
      </c>
      <c r="N48" s="2" t="s">
        <v>380</v>
      </c>
      <c r="O48" s="2" t="s">
        <v>29</v>
      </c>
      <c r="P48" s="2" t="s">
        <v>381</v>
      </c>
    </row>
    <row r="49" customFormat="false" ht="124.6" hidden="false" customHeight="false" outlineLevel="0" collapsed="false">
      <c r="A49" s="2" t="s">
        <v>16</v>
      </c>
      <c r="B49" s="2" t="s">
        <v>288</v>
      </c>
      <c r="C49" s="2" t="s">
        <v>382</v>
      </c>
      <c r="D49" s="2" t="s">
        <v>320</v>
      </c>
      <c r="E49" s="2" t="s">
        <v>20</v>
      </c>
      <c r="F49" s="2" t="s">
        <v>383</v>
      </c>
      <c r="G49" s="2" t="s">
        <v>384</v>
      </c>
      <c r="H49" s="2" t="s">
        <v>385</v>
      </c>
      <c r="I49" s="2" t="s">
        <v>24</v>
      </c>
      <c r="J49" s="2" t="s">
        <v>92</v>
      </c>
      <c r="K49" s="2"/>
      <c r="L49" s="2" t="s">
        <v>386</v>
      </c>
      <c r="M49" s="2" t="s">
        <v>46</v>
      </c>
      <c r="N49" s="2" t="s">
        <v>387</v>
      </c>
      <c r="O49" s="2" t="s">
        <v>29</v>
      </c>
      <c r="P49" s="2" t="s">
        <v>388</v>
      </c>
    </row>
    <row r="50" customFormat="false" ht="113.4" hidden="false" customHeight="false" outlineLevel="0" collapsed="false">
      <c r="A50" s="2" t="s">
        <v>16</v>
      </c>
      <c r="B50" s="2" t="s">
        <v>17</v>
      </c>
      <c r="C50" s="2" t="s">
        <v>389</v>
      </c>
      <c r="D50" s="2" t="s">
        <v>390</v>
      </c>
      <c r="E50" s="2" t="s">
        <v>67</v>
      </c>
      <c r="F50" s="2" t="s">
        <v>391</v>
      </c>
      <c r="G50" s="2" t="s">
        <v>392</v>
      </c>
      <c r="H50" s="2" t="s">
        <v>43</v>
      </c>
      <c r="I50" s="2" t="s">
        <v>393</v>
      </c>
      <c r="J50" s="2" t="s">
        <v>118</v>
      </c>
      <c r="K50" s="2"/>
      <c r="L50" s="2" t="s">
        <v>394</v>
      </c>
      <c r="M50" s="2" t="s">
        <v>46</v>
      </c>
      <c r="N50" s="2" t="s">
        <v>395</v>
      </c>
      <c r="O50" s="2" t="s">
        <v>29</v>
      </c>
      <c r="P50" s="2" t="s">
        <v>396</v>
      </c>
    </row>
    <row r="51" customFormat="false" ht="91" hidden="false" customHeight="false" outlineLevel="0" collapsed="false">
      <c r="A51" s="2" t="s">
        <v>16</v>
      </c>
      <c r="B51" s="2" t="s">
        <v>31</v>
      </c>
      <c r="C51" s="2" t="s">
        <v>397</v>
      </c>
      <c r="D51" s="2" t="s">
        <v>390</v>
      </c>
      <c r="E51" s="2" t="s">
        <v>67</v>
      </c>
      <c r="F51" s="2" t="s">
        <v>398</v>
      </c>
      <c r="G51" s="2" t="s">
        <v>399</v>
      </c>
      <c r="H51" s="2" t="s">
        <v>400</v>
      </c>
      <c r="I51" s="2" t="s">
        <v>24</v>
      </c>
      <c r="J51" s="2" t="s">
        <v>118</v>
      </c>
      <c r="K51" s="2"/>
      <c r="L51" s="2" t="s">
        <v>394</v>
      </c>
      <c r="M51" s="2" t="s">
        <v>46</v>
      </c>
      <c r="N51" s="2" t="s">
        <v>395</v>
      </c>
      <c r="O51" s="2" t="s">
        <v>29</v>
      </c>
      <c r="P51" s="2" t="s">
        <v>401</v>
      </c>
    </row>
    <row r="52" customFormat="false" ht="68.65" hidden="false" customHeight="false" outlineLevel="0" collapsed="false">
      <c r="A52" s="2" t="s">
        <v>16</v>
      </c>
      <c r="B52" s="2" t="s">
        <v>31</v>
      </c>
      <c r="C52" s="2" t="s">
        <v>402</v>
      </c>
      <c r="D52" s="2" t="s">
        <v>390</v>
      </c>
      <c r="E52" s="2" t="s">
        <v>67</v>
      </c>
      <c r="F52" s="2" t="s">
        <v>403</v>
      </c>
      <c r="G52" s="2" t="s">
        <v>404</v>
      </c>
      <c r="H52" s="2" t="s">
        <v>43</v>
      </c>
      <c r="I52" s="2" t="s">
        <v>405</v>
      </c>
      <c r="J52" s="2" t="s">
        <v>44</v>
      </c>
      <c r="K52" s="2"/>
      <c r="L52" s="2" t="s">
        <v>406</v>
      </c>
      <c r="M52" s="2" t="s">
        <v>46</v>
      </c>
      <c r="N52" s="2" t="s">
        <v>407</v>
      </c>
      <c r="O52" s="2" t="s">
        <v>29</v>
      </c>
      <c r="P52" s="2" t="s">
        <v>408</v>
      </c>
    </row>
    <row r="53" customFormat="false" ht="102.2" hidden="false" customHeight="false" outlineLevel="0" collapsed="false">
      <c r="A53" s="2" t="s">
        <v>16</v>
      </c>
      <c r="B53" s="2" t="s">
        <v>65</v>
      </c>
      <c r="C53" s="2" t="s">
        <v>409</v>
      </c>
      <c r="D53" s="2" t="s">
        <v>390</v>
      </c>
      <c r="E53" s="2" t="s">
        <v>20</v>
      </c>
      <c r="F53" s="2" t="s">
        <v>410</v>
      </c>
      <c r="G53" s="2" t="s">
        <v>411</v>
      </c>
      <c r="H53" s="2" t="s">
        <v>412</v>
      </c>
      <c r="I53" s="2" t="s">
        <v>413</v>
      </c>
      <c r="J53" s="2" t="s">
        <v>44</v>
      </c>
      <c r="K53" s="2"/>
      <c r="L53" s="2" t="s">
        <v>414</v>
      </c>
      <c r="M53" s="2" t="s">
        <v>160</v>
      </c>
      <c r="N53" s="2" t="s">
        <v>415</v>
      </c>
      <c r="O53" s="2" t="s">
        <v>29</v>
      </c>
      <c r="P53" s="2" t="s">
        <v>416</v>
      </c>
    </row>
    <row r="54" customFormat="false" ht="124.6" hidden="false" customHeight="false" outlineLevel="0" collapsed="false">
      <c r="A54" s="2" t="s">
        <v>16</v>
      </c>
      <c r="B54" s="2" t="s">
        <v>31</v>
      </c>
      <c r="C54" s="2" t="s">
        <v>397</v>
      </c>
      <c r="D54" s="2" t="s">
        <v>390</v>
      </c>
      <c r="E54" s="2" t="s">
        <v>20</v>
      </c>
      <c r="F54" s="2" t="s">
        <v>417</v>
      </c>
      <c r="G54" s="2" t="s">
        <v>418</v>
      </c>
      <c r="H54" s="2" t="s">
        <v>419</v>
      </c>
      <c r="I54" s="2" t="s">
        <v>36</v>
      </c>
      <c r="J54" s="2" t="s">
        <v>118</v>
      </c>
      <c r="K54" s="2"/>
      <c r="L54" s="2" t="s">
        <v>120</v>
      </c>
      <c r="M54" s="2" t="s">
        <v>121</v>
      </c>
      <c r="N54" s="2" t="s">
        <v>122</v>
      </c>
      <c r="O54" s="2" t="s">
        <v>29</v>
      </c>
      <c r="P54" s="2" t="s">
        <v>420</v>
      </c>
    </row>
    <row r="55" customFormat="false" ht="91" hidden="false" customHeight="false" outlineLevel="0" collapsed="false">
      <c r="A55" s="2" t="s">
        <v>16</v>
      </c>
      <c r="B55" s="2" t="s">
        <v>17</v>
      </c>
      <c r="C55" s="2" t="s">
        <v>421</v>
      </c>
      <c r="D55" s="2" t="s">
        <v>390</v>
      </c>
      <c r="E55" s="2" t="s">
        <v>67</v>
      </c>
      <c r="F55" s="2" t="s">
        <v>422</v>
      </c>
      <c r="G55" s="2" t="s">
        <v>423</v>
      </c>
      <c r="H55" s="2" t="s">
        <v>43</v>
      </c>
      <c r="I55" s="2" t="s">
        <v>405</v>
      </c>
      <c r="J55" s="2" t="s">
        <v>44</v>
      </c>
      <c r="K55" s="2"/>
      <c r="L55" s="2" t="s">
        <v>424</v>
      </c>
      <c r="M55" s="2" t="s">
        <v>46</v>
      </c>
      <c r="N55" s="2" t="s">
        <v>425</v>
      </c>
      <c r="O55" s="2" t="s">
        <v>29</v>
      </c>
      <c r="P55" s="2" t="s">
        <v>426</v>
      </c>
    </row>
    <row r="56" customFormat="false" ht="102.2" hidden="false" customHeight="false" outlineLevel="0" collapsed="false">
      <c r="A56" s="2" t="s">
        <v>16</v>
      </c>
      <c r="B56" s="2" t="s">
        <v>31</v>
      </c>
      <c r="C56" s="2" t="s">
        <v>427</v>
      </c>
      <c r="D56" s="2" t="s">
        <v>390</v>
      </c>
      <c r="E56" s="2" t="s">
        <v>20</v>
      </c>
      <c r="F56" s="2" t="s">
        <v>428</v>
      </c>
      <c r="G56" s="2" t="s">
        <v>429</v>
      </c>
      <c r="H56" s="2" t="s">
        <v>412</v>
      </c>
      <c r="I56" s="2" t="s">
        <v>430</v>
      </c>
      <c r="J56" s="2" t="s">
        <v>44</v>
      </c>
      <c r="K56" s="2"/>
      <c r="L56" s="2" t="s">
        <v>431</v>
      </c>
      <c r="M56" s="2" t="s">
        <v>160</v>
      </c>
      <c r="N56" s="2" t="s">
        <v>432</v>
      </c>
      <c r="O56" s="2" t="s">
        <v>29</v>
      </c>
      <c r="P56" s="2" t="s">
        <v>433</v>
      </c>
    </row>
    <row r="57" customFormat="false" ht="68.65" hidden="false" customHeight="false" outlineLevel="0" collapsed="false">
      <c r="A57" s="2" t="s">
        <v>16</v>
      </c>
      <c r="B57" s="2" t="s">
        <v>17</v>
      </c>
      <c r="C57" s="2" t="s">
        <v>434</v>
      </c>
      <c r="D57" s="2" t="s">
        <v>390</v>
      </c>
      <c r="E57" s="2" t="s">
        <v>20</v>
      </c>
      <c r="F57" s="2" t="s">
        <v>435</v>
      </c>
      <c r="G57" s="2" t="s">
        <v>436</v>
      </c>
      <c r="H57" s="2" t="s">
        <v>437</v>
      </c>
      <c r="I57" s="2" t="s">
        <v>438</v>
      </c>
      <c r="J57" s="2" t="s">
        <v>25</v>
      </c>
      <c r="K57" s="2"/>
      <c r="L57" s="2" t="s">
        <v>439</v>
      </c>
      <c r="M57" s="2" t="s">
        <v>27</v>
      </c>
      <c r="N57" s="2" t="s">
        <v>440</v>
      </c>
      <c r="O57" s="2" t="s">
        <v>29</v>
      </c>
      <c r="P57" s="2" t="s">
        <v>441</v>
      </c>
    </row>
    <row r="58" customFormat="false" ht="91" hidden="false" customHeight="false" outlineLevel="0" collapsed="false">
      <c r="A58" s="2" t="s">
        <v>16</v>
      </c>
      <c r="B58" s="2" t="s">
        <v>31</v>
      </c>
      <c r="C58" s="2" t="s">
        <v>442</v>
      </c>
      <c r="D58" s="2" t="s">
        <v>390</v>
      </c>
      <c r="E58" s="2" t="s">
        <v>20</v>
      </c>
      <c r="F58" s="2" t="s">
        <v>443</v>
      </c>
      <c r="G58" s="2" t="s">
        <v>444</v>
      </c>
      <c r="H58" s="2" t="s">
        <v>212</v>
      </c>
      <c r="I58" s="2" t="s">
        <v>226</v>
      </c>
      <c r="J58" s="2" t="s">
        <v>44</v>
      </c>
      <c r="K58" s="2"/>
      <c r="L58" s="2" t="s">
        <v>445</v>
      </c>
      <c r="M58" s="2" t="s">
        <v>27</v>
      </c>
      <c r="N58" s="2" t="s">
        <v>446</v>
      </c>
      <c r="O58" s="2" t="s">
        <v>29</v>
      </c>
      <c r="P58" s="2" t="s">
        <v>447</v>
      </c>
    </row>
    <row r="59" customFormat="false" ht="57.45" hidden="false" customHeight="false" outlineLevel="0" collapsed="false">
      <c r="A59" s="2" t="s">
        <v>16</v>
      </c>
      <c r="B59" s="2" t="s">
        <v>31</v>
      </c>
      <c r="C59" s="2" t="s">
        <v>448</v>
      </c>
      <c r="D59" s="2" t="s">
        <v>390</v>
      </c>
      <c r="E59" s="2" t="s">
        <v>20</v>
      </c>
      <c r="F59" s="2" t="s">
        <v>449</v>
      </c>
      <c r="G59" s="2" t="s">
        <v>450</v>
      </c>
      <c r="H59" s="2" t="s">
        <v>451</v>
      </c>
      <c r="I59" s="2" t="s">
        <v>452</v>
      </c>
      <c r="J59" s="2" t="s">
        <v>25</v>
      </c>
      <c r="K59" s="2"/>
      <c r="L59" s="2" t="s">
        <v>453</v>
      </c>
      <c r="M59" s="2" t="s">
        <v>27</v>
      </c>
      <c r="N59" s="2" t="s">
        <v>454</v>
      </c>
      <c r="O59" s="2" t="s">
        <v>29</v>
      </c>
      <c r="P59" s="2" t="s">
        <v>455</v>
      </c>
    </row>
    <row r="60" customFormat="false" ht="57.45" hidden="false" customHeight="false" outlineLevel="0" collapsed="false">
      <c r="A60" s="2" t="s">
        <v>16</v>
      </c>
      <c r="B60" s="2" t="s">
        <v>31</v>
      </c>
      <c r="C60" s="2" t="s">
        <v>456</v>
      </c>
      <c r="D60" s="2" t="s">
        <v>390</v>
      </c>
      <c r="E60" s="2" t="s">
        <v>20</v>
      </c>
      <c r="F60" s="2" t="s">
        <v>457</v>
      </c>
      <c r="G60" s="2" t="s">
        <v>458</v>
      </c>
      <c r="H60" s="2" t="s">
        <v>459</v>
      </c>
      <c r="I60" s="2" t="s">
        <v>460</v>
      </c>
      <c r="J60" s="2" t="s">
        <v>25</v>
      </c>
      <c r="K60" s="2"/>
      <c r="L60" s="2" t="s">
        <v>461</v>
      </c>
      <c r="M60" s="2" t="s">
        <v>27</v>
      </c>
      <c r="N60" s="2" t="s">
        <v>462</v>
      </c>
      <c r="O60" s="2" t="s">
        <v>29</v>
      </c>
      <c r="P60" s="2" t="s">
        <v>463</v>
      </c>
    </row>
    <row r="61" customFormat="false" ht="91" hidden="false" customHeight="false" outlineLevel="0" collapsed="false">
      <c r="A61" s="2" t="s">
        <v>16</v>
      </c>
      <c r="B61" s="2" t="s">
        <v>65</v>
      </c>
      <c r="C61" s="2" t="s">
        <v>464</v>
      </c>
      <c r="D61" s="2" t="s">
        <v>390</v>
      </c>
      <c r="E61" s="2" t="s">
        <v>20</v>
      </c>
      <c r="F61" s="2" t="s">
        <v>465</v>
      </c>
      <c r="G61" s="2" t="s">
        <v>466</v>
      </c>
      <c r="H61" s="2" t="s">
        <v>467</v>
      </c>
      <c r="I61" s="2" t="s">
        <v>226</v>
      </c>
      <c r="J61" s="2" t="s">
        <v>44</v>
      </c>
      <c r="K61" s="2"/>
      <c r="L61" s="2" t="s">
        <v>468</v>
      </c>
      <c r="M61" s="2" t="s">
        <v>27</v>
      </c>
      <c r="N61" s="2" t="s">
        <v>469</v>
      </c>
      <c r="O61" s="2" t="s">
        <v>29</v>
      </c>
      <c r="P61" s="2" t="s">
        <v>470</v>
      </c>
    </row>
    <row r="62" customFormat="false" ht="102.2" hidden="false" customHeight="false" outlineLevel="0" collapsed="false">
      <c r="A62" s="2" t="s">
        <v>16</v>
      </c>
      <c r="B62" s="2" t="s">
        <v>31</v>
      </c>
      <c r="C62" s="2" t="s">
        <v>471</v>
      </c>
      <c r="D62" s="2" t="s">
        <v>390</v>
      </c>
      <c r="E62" s="2" t="s">
        <v>20</v>
      </c>
      <c r="F62" s="2" t="s">
        <v>472</v>
      </c>
      <c r="G62" s="2" t="s">
        <v>473</v>
      </c>
      <c r="H62" s="2" t="s">
        <v>43</v>
      </c>
      <c r="I62" s="2" t="s">
        <v>474</v>
      </c>
      <c r="J62" s="2" t="s">
        <v>44</v>
      </c>
      <c r="K62" s="2"/>
      <c r="L62" s="2" t="s">
        <v>475</v>
      </c>
      <c r="M62" s="2" t="s">
        <v>46</v>
      </c>
      <c r="N62" s="2" t="s">
        <v>476</v>
      </c>
      <c r="O62" s="2" t="s">
        <v>29</v>
      </c>
      <c r="P62" s="2" t="s">
        <v>477</v>
      </c>
    </row>
    <row r="63" customFormat="false" ht="113.4" hidden="false" customHeight="false" outlineLevel="0" collapsed="false">
      <c r="A63" s="2" t="s">
        <v>16</v>
      </c>
      <c r="B63" s="2" t="s">
        <v>17</v>
      </c>
      <c r="C63" s="2" t="s">
        <v>478</v>
      </c>
      <c r="D63" s="2" t="s">
        <v>390</v>
      </c>
      <c r="E63" s="2" t="s">
        <v>67</v>
      </c>
      <c r="F63" s="2" t="s">
        <v>479</v>
      </c>
      <c r="G63" s="2" t="s">
        <v>480</v>
      </c>
      <c r="H63" s="2" t="s">
        <v>43</v>
      </c>
      <c r="I63" s="2" t="s">
        <v>481</v>
      </c>
      <c r="J63" s="2" t="s">
        <v>118</v>
      </c>
      <c r="K63" s="2"/>
      <c r="L63" s="2" t="s">
        <v>482</v>
      </c>
      <c r="M63" s="2" t="s">
        <v>46</v>
      </c>
      <c r="N63" s="2" t="s">
        <v>483</v>
      </c>
      <c r="O63" s="2" t="s">
        <v>29</v>
      </c>
      <c r="P63" s="2" t="s">
        <v>484</v>
      </c>
    </row>
    <row r="64" customFormat="false" ht="91" hidden="false" customHeight="false" outlineLevel="0" collapsed="false">
      <c r="A64" s="2" t="s">
        <v>16</v>
      </c>
      <c r="B64" s="2" t="s">
        <v>17</v>
      </c>
      <c r="C64" s="2" t="s">
        <v>485</v>
      </c>
      <c r="D64" s="2" t="s">
        <v>390</v>
      </c>
      <c r="E64" s="2" t="s">
        <v>20</v>
      </c>
      <c r="F64" s="2" t="s">
        <v>486</v>
      </c>
      <c r="G64" s="2" t="s">
        <v>487</v>
      </c>
      <c r="H64" s="2" t="s">
        <v>488</v>
      </c>
      <c r="I64" s="2" t="s">
        <v>489</v>
      </c>
      <c r="J64" s="2" t="s">
        <v>44</v>
      </c>
      <c r="K64" s="2"/>
      <c r="L64" s="2" t="s">
        <v>490</v>
      </c>
      <c r="M64" s="2" t="s">
        <v>27</v>
      </c>
      <c r="N64" s="2" t="s">
        <v>491</v>
      </c>
      <c r="O64" s="2" t="s">
        <v>29</v>
      </c>
      <c r="P64" s="2" t="s">
        <v>492</v>
      </c>
    </row>
    <row r="65" customFormat="false" ht="102.2" hidden="false" customHeight="false" outlineLevel="0" collapsed="false">
      <c r="A65" s="2" t="s">
        <v>16</v>
      </c>
      <c r="B65" s="2" t="s">
        <v>31</v>
      </c>
      <c r="C65" s="2" t="s">
        <v>493</v>
      </c>
      <c r="D65" s="2" t="s">
        <v>390</v>
      </c>
      <c r="E65" s="2" t="s">
        <v>20</v>
      </c>
      <c r="F65" s="2" t="s">
        <v>494</v>
      </c>
      <c r="G65" s="2" t="s">
        <v>495</v>
      </c>
      <c r="H65" s="2" t="s">
        <v>467</v>
      </c>
      <c r="I65" s="2" t="s">
        <v>496</v>
      </c>
      <c r="J65" s="2" t="s">
        <v>44</v>
      </c>
      <c r="K65" s="2"/>
      <c r="L65" s="2" t="s">
        <v>497</v>
      </c>
      <c r="M65" s="2" t="s">
        <v>27</v>
      </c>
      <c r="N65" s="2" t="s">
        <v>498</v>
      </c>
      <c r="O65" s="2" t="s">
        <v>29</v>
      </c>
      <c r="P65" s="2" t="s">
        <v>499</v>
      </c>
    </row>
    <row r="66" customFormat="false" ht="124.6" hidden="false" customHeight="false" outlineLevel="0" collapsed="false">
      <c r="A66" s="2" t="s">
        <v>16</v>
      </c>
      <c r="B66" s="2" t="s">
        <v>31</v>
      </c>
      <c r="C66" s="2" t="s">
        <v>500</v>
      </c>
      <c r="D66" s="2" t="s">
        <v>390</v>
      </c>
      <c r="E66" s="2" t="s">
        <v>20</v>
      </c>
      <c r="F66" s="2" t="s">
        <v>501</v>
      </c>
      <c r="G66" s="2" t="s">
        <v>502</v>
      </c>
      <c r="H66" s="2" t="s">
        <v>503</v>
      </c>
      <c r="I66" s="2" t="s">
        <v>504</v>
      </c>
      <c r="J66" s="2" t="s">
        <v>44</v>
      </c>
      <c r="K66" s="2"/>
      <c r="L66" s="2" t="s">
        <v>505</v>
      </c>
      <c r="M66" s="2" t="s">
        <v>27</v>
      </c>
      <c r="N66" s="2" t="s">
        <v>506</v>
      </c>
      <c r="O66" s="2" t="s">
        <v>29</v>
      </c>
      <c r="P66" s="2" t="s">
        <v>507</v>
      </c>
    </row>
    <row r="67" customFormat="false" ht="91" hidden="false" customHeight="false" outlineLevel="0" collapsed="false">
      <c r="A67" s="2" t="s">
        <v>16</v>
      </c>
      <c r="B67" s="2" t="s">
        <v>31</v>
      </c>
      <c r="C67" s="2" t="s">
        <v>508</v>
      </c>
      <c r="D67" s="2" t="s">
        <v>390</v>
      </c>
      <c r="E67" s="2" t="s">
        <v>67</v>
      </c>
      <c r="F67" s="2" t="s">
        <v>509</v>
      </c>
      <c r="G67" s="2" t="s">
        <v>510</v>
      </c>
      <c r="H67" s="2" t="s">
        <v>511</v>
      </c>
      <c r="I67" s="2" t="s">
        <v>512</v>
      </c>
      <c r="J67" s="2" t="s">
        <v>44</v>
      </c>
      <c r="K67" s="2"/>
      <c r="L67" s="2" t="s">
        <v>513</v>
      </c>
      <c r="M67" s="2" t="s">
        <v>160</v>
      </c>
      <c r="N67" s="2" t="s">
        <v>514</v>
      </c>
      <c r="O67" s="2" t="s">
        <v>29</v>
      </c>
      <c r="P67" s="2" t="s">
        <v>515</v>
      </c>
    </row>
    <row r="68" customFormat="false" ht="169.4" hidden="false" customHeight="false" outlineLevel="0" collapsed="false">
      <c r="A68" s="2" t="s">
        <v>16</v>
      </c>
      <c r="B68" s="2" t="s">
        <v>31</v>
      </c>
      <c r="C68" s="2" t="s">
        <v>516</v>
      </c>
      <c r="D68" s="2" t="s">
        <v>390</v>
      </c>
      <c r="E68" s="2" t="s">
        <v>20</v>
      </c>
      <c r="F68" s="2" t="s">
        <v>517</v>
      </c>
      <c r="G68" s="2" t="s">
        <v>518</v>
      </c>
      <c r="H68" s="2" t="s">
        <v>519</v>
      </c>
      <c r="I68" s="2" t="s">
        <v>520</v>
      </c>
      <c r="J68" s="2" t="s">
        <v>44</v>
      </c>
      <c r="K68" s="2"/>
      <c r="L68" s="2" t="s">
        <v>521</v>
      </c>
      <c r="M68" s="2" t="s">
        <v>27</v>
      </c>
      <c r="N68" s="2" t="s">
        <v>522</v>
      </c>
      <c r="O68" s="2" t="s">
        <v>29</v>
      </c>
      <c r="P68" s="2" t="s">
        <v>523</v>
      </c>
    </row>
    <row r="69" customFormat="false" ht="102.2" hidden="false" customHeight="false" outlineLevel="0" collapsed="false">
      <c r="A69" s="2" t="s">
        <v>16</v>
      </c>
      <c r="B69" s="2" t="s">
        <v>31</v>
      </c>
      <c r="C69" s="2" t="s">
        <v>516</v>
      </c>
      <c r="D69" s="2" t="s">
        <v>390</v>
      </c>
      <c r="E69" s="2" t="s">
        <v>20</v>
      </c>
      <c r="F69" s="2" t="s">
        <v>524</v>
      </c>
      <c r="G69" s="2" t="s">
        <v>525</v>
      </c>
      <c r="H69" s="2" t="s">
        <v>526</v>
      </c>
      <c r="I69" s="2" t="s">
        <v>226</v>
      </c>
      <c r="J69" s="2" t="s">
        <v>44</v>
      </c>
      <c r="K69" s="2"/>
      <c r="L69" s="2" t="s">
        <v>527</v>
      </c>
      <c r="M69" s="2" t="s">
        <v>27</v>
      </c>
      <c r="N69" s="2" t="s">
        <v>528</v>
      </c>
      <c r="O69" s="2" t="s">
        <v>29</v>
      </c>
      <c r="P69" s="2" t="s">
        <v>529</v>
      </c>
    </row>
    <row r="70" customFormat="false" ht="124.6" hidden="false" customHeight="false" outlineLevel="0" collapsed="false">
      <c r="A70" s="2" t="s">
        <v>16</v>
      </c>
      <c r="B70" s="2" t="s">
        <v>31</v>
      </c>
      <c r="C70" s="2" t="s">
        <v>530</v>
      </c>
      <c r="D70" s="2" t="s">
        <v>390</v>
      </c>
      <c r="E70" s="2" t="s">
        <v>20</v>
      </c>
      <c r="F70" s="2" t="s">
        <v>531</v>
      </c>
      <c r="G70" s="2" t="s">
        <v>532</v>
      </c>
      <c r="H70" s="2" t="s">
        <v>533</v>
      </c>
      <c r="I70" s="2" t="s">
        <v>534</v>
      </c>
      <c r="J70" s="2" t="s">
        <v>44</v>
      </c>
      <c r="K70" s="2"/>
      <c r="L70" s="2" t="s">
        <v>535</v>
      </c>
      <c r="M70" s="2" t="s">
        <v>27</v>
      </c>
      <c r="N70" s="2" t="s">
        <v>536</v>
      </c>
      <c r="O70" s="2" t="s">
        <v>29</v>
      </c>
      <c r="P70" s="2" t="s">
        <v>537</v>
      </c>
    </row>
    <row r="71" customFormat="false" ht="57.45" hidden="false" customHeight="false" outlineLevel="0" collapsed="false">
      <c r="A71" s="2" t="s">
        <v>16</v>
      </c>
      <c r="B71" s="2" t="s">
        <v>288</v>
      </c>
      <c r="C71" s="2" t="s">
        <v>538</v>
      </c>
      <c r="D71" s="2" t="s">
        <v>539</v>
      </c>
      <c r="E71" s="2" t="s">
        <v>67</v>
      </c>
      <c r="F71" s="2" t="s">
        <v>540</v>
      </c>
      <c r="G71" s="2" t="s">
        <v>541</v>
      </c>
      <c r="H71" s="2" t="s">
        <v>43</v>
      </c>
      <c r="I71" s="2" t="s">
        <v>542</v>
      </c>
      <c r="J71" s="2" t="s">
        <v>44</v>
      </c>
      <c r="K71" s="2" t="s">
        <v>93</v>
      </c>
      <c r="L71" s="2" t="s">
        <v>543</v>
      </c>
      <c r="M71" s="2" t="s">
        <v>46</v>
      </c>
      <c r="N71" s="2" t="s">
        <v>544</v>
      </c>
      <c r="O71" s="2" t="s">
        <v>29</v>
      </c>
      <c r="P71" s="2" t="s">
        <v>545</v>
      </c>
    </row>
    <row r="72" customFormat="false" ht="57.45" hidden="false" customHeight="false" outlineLevel="0" collapsed="false">
      <c r="A72" s="2" t="s">
        <v>16</v>
      </c>
      <c r="B72" s="2" t="s">
        <v>17</v>
      </c>
      <c r="C72" s="2" t="s">
        <v>546</v>
      </c>
      <c r="D72" s="2" t="s">
        <v>539</v>
      </c>
      <c r="E72" s="2" t="s">
        <v>67</v>
      </c>
      <c r="F72" s="2" t="s">
        <v>547</v>
      </c>
      <c r="G72" s="2" t="s">
        <v>548</v>
      </c>
      <c r="H72" s="2" t="s">
        <v>240</v>
      </c>
      <c r="I72" s="2" t="s">
        <v>226</v>
      </c>
      <c r="J72" s="2" t="s">
        <v>44</v>
      </c>
      <c r="K72" s="2" t="s">
        <v>93</v>
      </c>
      <c r="L72" s="2" t="s">
        <v>549</v>
      </c>
      <c r="M72" s="2" t="s">
        <v>27</v>
      </c>
      <c r="N72" s="2" t="s">
        <v>550</v>
      </c>
      <c r="O72" s="2" t="s">
        <v>29</v>
      </c>
      <c r="P72" s="2" t="s">
        <v>551</v>
      </c>
    </row>
    <row r="73" customFormat="false" ht="57.45" hidden="false" customHeight="false" outlineLevel="0" collapsed="false">
      <c r="A73" s="3" t="s">
        <v>16</v>
      </c>
      <c r="B73" s="3" t="s">
        <v>17</v>
      </c>
      <c r="C73" s="3" t="s">
        <v>552</v>
      </c>
      <c r="D73" s="3" t="s">
        <v>539</v>
      </c>
      <c r="E73" s="3" t="s">
        <v>67</v>
      </c>
      <c r="F73" s="3" t="s">
        <v>553</v>
      </c>
      <c r="G73" s="3" t="s">
        <v>554</v>
      </c>
      <c r="H73" s="3" t="s">
        <v>240</v>
      </c>
      <c r="I73" s="3" t="s">
        <v>405</v>
      </c>
      <c r="J73" s="3" t="s">
        <v>25</v>
      </c>
      <c r="K73" s="3" t="s">
        <v>93</v>
      </c>
      <c r="L73" s="3" t="s">
        <v>555</v>
      </c>
      <c r="M73" s="3" t="s">
        <v>121</v>
      </c>
      <c r="N73" s="3" t="s">
        <v>556</v>
      </c>
      <c r="O73" s="3" t="s">
        <v>183</v>
      </c>
      <c r="P73" s="3" t="s">
        <v>557</v>
      </c>
    </row>
    <row r="74" customFormat="false" ht="57.45" hidden="false" customHeight="false" outlineLevel="0" collapsed="false">
      <c r="A74" s="2" t="s">
        <v>16</v>
      </c>
      <c r="B74" s="2" t="s">
        <v>65</v>
      </c>
      <c r="C74" s="2" t="s">
        <v>558</v>
      </c>
      <c r="D74" s="2" t="s">
        <v>539</v>
      </c>
      <c r="E74" s="2" t="s">
        <v>67</v>
      </c>
      <c r="F74" s="2" t="s">
        <v>559</v>
      </c>
      <c r="G74" s="2" t="s">
        <v>560</v>
      </c>
      <c r="H74" s="2" t="s">
        <v>240</v>
      </c>
      <c r="I74" s="2" t="s">
        <v>70</v>
      </c>
      <c r="J74" s="2" t="s">
        <v>25</v>
      </c>
      <c r="K74" s="2"/>
      <c r="L74" s="2" t="s">
        <v>561</v>
      </c>
      <c r="M74" s="2" t="s">
        <v>46</v>
      </c>
      <c r="N74" s="2" t="s">
        <v>72</v>
      </c>
      <c r="O74" s="2" t="s">
        <v>29</v>
      </c>
      <c r="P74" s="2" t="s">
        <v>562</v>
      </c>
    </row>
    <row r="75" customFormat="false" ht="102.2" hidden="false" customHeight="false" outlineLevel="0" collapsed="false">
      <c r="A75" s="2" t="s">
        <v>16</v>
      </c>
      <c r="B75" s="2" t="s">
        <v>17</v>
      </c>
      <c r="C75" s="2" t="s">
        <v>563</v>
      </c>
      <c r="D75" s="2" t="s">
        <v>539</v>
      </c>
      <c r="E75" s="2" t="s">
        <v>67</v>
      </c>
      <c r="F75" s="2" t="s">
        <v>564</v>
      </c>
      <c r="G75" s="2" t="s">
        <v>565</v>
      </c>
      <c r="H75" s="2" t="s">
        <v>43</v>
      </c>
      <c r="I75" s="2" t="s">
        <v>405</v>
      </c>
      <c r="J75" s="2" t="s">
        <v>44</v>
      </c>
      <c r="K75" s="2"/>
      <c r="L75" s="2" t="s">
        <v>566</v>
      </c>
      <c r="M75" s="2" t="s">
        <v>46</v>
      </c>
      <c r="N75" s="2" t="s">
        <v>567</v>
      </c>
      <c r="O75" s="2" t="s">
        <v>29</v>
      </c>
      <c r="P75" s="2" t="s">
        <v>568</v>
      </c>
    </row>
    <row r="76" customFormat="false" ht="113.4" hidden="false" customHeight="false" outlineLevel="0" collapsed="false">
      <c r="A76" s="2" t="s">
        <v>16</v>
      </c>
      <c r="B76" s="2" t="s">
        <v>169</v>
      </c>
      <c r="C76" s="2" t="s">
        <v>569</v>
      </c>
      <c r="D76" s="2" t="s">
        <v>539</v>
      </c>
      <c r="E76" s="2" t="s">
        <v>67</v>
      </c>
      <c r="F76" s="2" t="s">
        <v>570</v>
      </c>
      <c r="G76" s="2" t="s">
        <v>571</v>
      </c>
      <c r="H76" s="2" t="s">
        <v>107</v>
      </c>
      <c r="I76" s="2" t="s">
        <v>204</v>
      </c>
      <c r="J76" s="2" t="s">
        <v>92</v>
      </c>
      <c r="K76" s="2" t="s">
        <v>572</v>
      </c>
      <c r="L76" s="2" t="s">
        <v>45</v>
      </c>
      <c r="M76" s="2" t="s">
        <v>46</v>
      </c>
      <c r="N76" s="2" t="s">
        <v>573</v>
      </c>
      <c r="O76" s="2" t="s">
        <v>29</v>
      </c>
      <c r="P76" s="2" t="s">
        <v>574</v>
      </c>
    </row>
    <row r="77" customFormat="false" ht="57.45" hidden="false" customHeight="false" outlineLevel="0" collapsed="false">
      <c r="A77" s="2" t="s">
        <v>16</v>
      </c>
      <c r="B77" s="2" t="s">
        <v>17</v>
      </c>
      <c r="C77" s="2" t="s">
        <v>575</v>
      </c>
      <c r="D77" s="2" t="s">
        <v>539</v>
      </c>
      <c r="E77" s="2" t="s">
        <v>67</v>
      </c>
      <c r="F77" s="2" t="s">
        <v>576</v>
      </c>
      <c r="G77" s="2" t="s">
        <v>577</v>
      </c>
      <c r="H77" s="2" t="s">
        <v>43</v>
      </c>
      <c r="I77" s="2" t="s">
        <v>24</v>
      </c>
      <c r="J77" s="2" t="s">
        <v>44</v>
      </c>
      <c r="K77" s="2" t="s">
        <v>93</v>
      </c>
      <c r="L77" s="2" t="s">
        <v>135</v>
      </c>
      <c r="M77" s="2" t="s">
        <v>46</v>
      </c>
      <c r="N77" s="2" t="s">
        <v>578</v>
      </c>
      <c r="O77" s="2" t="s">
        <v>29</v>
      </c>
      <c r="P77" s="2" t="s">
        <v>579</v>
      </c>
    </row>
    <row r="78" customFormat="false" ht="68.65" hidden="false" customHeight="false" outlineLevel="0" collapsed="false">
      <c r="A78" s="2" t="s">
        <v>16</v>
      </c>
      <c r="B78" s="2" t="s">
        <v>17</v>
      </c>
      <c r="C78" s="2" t="s">
        <v>580</v>
      </c>
      <c r="D78" s="2" t="s">
        <v>539</v>
      </c>
      <c r="E78" s="2" t="s">
        <v>67</v>
      </c>
      <c r="F78" s="2" t="s">
        <v>581</v>
      </c>
      <c r="G78" s="2" t="s">
        <v>582</v>
      </c>
      <c r="H78" s="2" t="s">
        <v>107</v>
      </c>
      <c r="I78" s="2" t="s">
        <v>583</v>
      </c>
      <c r="J78" s="2" t="s">
        <v>584</v>
      </c>
      <c r="K78" s="2" t="s">
        <v>93</v>
      </c>
      <c r="L78" s="2" t="s">
        <v>135</v>
      </c>
      <c r="M78" s="2" t="s">
        <v>243</v>
      </c>
      <c r="N78" s="2" t="s">
        <v>578</v>
      </c>
      <c r="O78" s="2" t="s">
        <v>29</v>
      </c>
      <c r="P78" s="2" t="s">
        <v>585</v>
      </c>
    </row>
    <row r="79" customFormat="false" ht="68.65" hidden="false" customHeight="false" outlineLevel="0" collapsed="false">
      <c r="A79" s="2" t="s">
        <v>16</v>
      </c>
      <c r="B79" s="2" t="s">
        <v>17</v>
      </c>
      <c r="C79" s="2" t="s">
        <v>586</v>
      </c>
      <c r="D79" s="2" t="s">
        <v>539</v>
      </c>
      <c r="E79" s="2" t="s">
        <v>67</v>
      </c>
      <c r="F79" s="2" t="s">
        <v>587</v>
      </c>
      <c r="G79" s="2" t="s">
        <v>588</v>
      </c>
      <c r="H79" s="2" t="s">
        <v>43</v>
      </c>
      <c r="I79" s="2" t="s">
        <v>308</v>
      </c>
      <c r="J79" s="2" t="s">
        <v>44</v>
      </c>
      <c r="K79" s="2" t="s">
        <v>93</v>
      </c>
      <c r="L79" s="2" t="s">
        <v>589</v>
      </c>
      <c r="M79" s="2" t="s">
        <v>46</v>
      </c>
      <c r="N79" s="2" t="s">
        <v>590</v>
      </c>
      <c r="O79" s="2" t="s">
        <v>29</v>
      </c>
      <c r="P79" s="2" t="s">
        <v>591</v>
      </c>
    </row>
    <row r="80" customFormat="false" ht="57.45" hidden="false" customHeight="false" outlineLevel="0" collapsed="false">
      <c r="A80" s="2" t="s">
        <v>16</v>
      </c>
      <c r="B80" s="2" t="s">
        <v>31</v>
      </c>
      <c r="C80" s="2" t="s">
        <v>592</v>
      </c>
      <c r="D80" s="2" t="s">
        <v>539</v>
      </c>
      <c r="E80" s="2" t="s">
        <v>593</v>
      </c>
      <c r="F80" s="2" t="s">
        <v>594</v>
      </c>
      <c r="G80" s="2" t="s">
        <v>595</v>
      </c>
      <c r="H80" s="2" t="s">
        <v>107</v>
      </c>
      <c r="I80" s="2" t="s">
        <v>596</v>
      </c>
      <c r="J80" s="2" t="s">
        <v>44</v>
      </c>
      <c r="K80" s="2" t="s">
        <v>597</v>
      </c>
      <c r="L80" s="2" t="s">
        <v>598</v>
      </c>
      <c r="M80" s="2" t="s">
        <v>46</v>
      </c>
      <c r="N80" s="2" t="s">
        <v>599</v>
      </c>
      <c r="O80" s="2" t="s">
        <v>29</v>
      </c>
      <c r="P80" s="2" t="s">
        <v>600</v>
      </c>
    </row>
    <row r="81" customFormat="false" ht="57.45" hidden="false" customHeight="false" outlineLevel="0" collapsed="false">
      <c r="A81" s="2" t="s">
        <v>16</v>
      </c>
      <c r="B81" s="2" t="s">
        <v>17</v>
      </c>
      <c r="C81" s="2" t="s">
        <v>601</v>
      </c>
      <c r="D81" s="2" t="s">
        <v>539</v>
      </c>
      <c r="E81" s="2" t="s">
        <v>67</v>
      </c>
      <c r="F81" s="2" t="s">
        <v>602</v>
      </c>
      <c r="G81" s="2" t="s">
        <v>603</v>
      </c>
      <c r="H81" s="2" t="s">
        <v>240</v>
      </c>
      <c r="I81" s="2" t="s">
        <v>233</v>
      </c>
      <c r="J81" s="2" t="s">
        <v>44</v>
      </c>
      <c r="K81" s="2" t="s">
        <v>93</v>
      </c>
      <c r="L81" s="2" t="s">
        <v>604</v>
      </c>
      <c r="M81" s="2" t="s">
        <v>27</v>
      </c>
      <c r="N81" s="2" t="s">
        <v>605</v>
      </c>
      <c r="O81" s="2" t="s">
        <v>29</v>
      </c>
      <c r="P81" s="2" t="s">
        <v>551</v>
      </c>
    </row>
    <row r="82" customFormat="false" ht="46.25" hidden="false" customHeight="false" outlineLevel="0" collapsed="false">
      <c r="A82" s="3" t="s">
        <v>16</v>
      </c>
      <c r="B82" s="3" t="s">
        <v>17</v>
      </c>
      <c r="C82" s="3" t="s">
        <v>606</v>
      </c>
      <c r="D82" s="3" t="s">
        <v>539</v>
      </c>
      <c r="E82" s="3" t="s">
        <v>67</v>
      </c>
      <c r="F82" s="3" t="s">
        <v>607</v>
      </c>
      <c r="G82" s="3" t="s">
        <v>608</v>
      </c>
      <c r="H82" s="3" t="s">
        <v>609</v>
      </c>
      <c r="I82" s="3" t="s">
        <v>36</v>
      </c>
      <c r="J82" s="3" t="s">
        <v>25</v>
      </c>
      <c r="K82" s="3" t="s">
        <v>610</v>
      </c>
      <c r="L82" s="3" t="s">
        <v>611</v>
      </c>
      <c r="M82" s="3" t="s">
        <v>121</v>
      </c>
      <c r="N82" s="3" t="s">
        <v>556</v>
      </c>
      <c r="O82" s="3" t="s">
        <v>183</v>
      </c>
      <c r="P82" s="3" t="s">
        <v>612</v>
      </c>
    </row>
    <row r="83" customFormat="false" ht="102.2" hidden="false" customHeight="false" outlineLevel="0" collapsed="false">
      <c r="A83" s="2" t="s">
        <v>16</v>
      </c>
      <c r="B83" s="2" t="s">
        <v>17</v>
      </c>
      <c r="C83" s="2" t="s">
        <v>613</v>
      </c>
      <c r="D83" s="2" t="s">
        <v>539</v>
      </c>
      <c r="E83" s="2" t="s">
        <v>67</v>
      </c>
      <c r="F83" s="2" t="s">
        <v>614</v>
      </c>
      <c r="G83" s="2" t="s">
        <v>615</v>
      </c>
      <c r="H83" s="2" t="s">
        <v>240</v>
      </c>
      <c r="I83" s="2" t="s">
        <v>226</v>
      </c>
      <c r="J83" s="2" t="s">
        <v>584</v>
      </c>
      <c r="K83" s="2" t="s">
        <v>93</v>
      </c>
      <c r="L83" s="2" t="s">
        <v>616</v>
      </c>
      <c r="M83" s="2" t="s">
        <v>243</v>
      </c>
      <c r="N83" s="2" t="s">
        <v>617</v>
      </c>
      <c r="O83" s="2" t="s">
        <v>29</v>
      </c>
      <c r="P83" s="2" t="s">
        <v>618</v>
      </c>
    </row>
    <row r="84" customFormat="false" ht="79.85" hidden="false" customHeight="false" outlineLevel="0" collapsed="false">
      <c r="A84" s="2" t="s">
        <v>16</v>
      </c>
      <c r="B84" s="2" t="s">
        <v>169</v>
      </c>
      <c r="C84" s="2" t="s">
        <v>619</v>
      </c>
      <c r="D84" s="2" t="s">
        <v>539</v>
      </c>
      <c r="E84" s="2" t="s">
        <v>67</v>
      </c>
      <c r="F84" s="2" t="s">
        <v>620</v>
      </c>
      <c r="G84" s="2" t="s">
        <v>621</v>
      </c>
      <c r="H84" s="2" t="s">
        <v>240</v>
      </c>
      <c r="I84" s="2" t="s">
        <v>108</v>
      </c>
      <c r="J84" s="2" t="s">
        <v>25</v>
      </c>
      <c r="K84" s="2"/>
      <c r="L84" s="2" t="s">
        <v>622</v>
      </c>
      <c r="M84" s="2" t="s">
        <v>27</v>
      </c>
      <c r="N84" s="2" t="s">
        <v>623</v>
      </c>
      <c r="O84" s="2" t="s">
        <v>29</v>
      </c>
      <c r="P84" s="2" t="s">
        <v>624</v>
      </c>
    </row>
    <row r="85" customFormat="false" ht="57.45" hidden="false" customHeight="false" outlineLevel="0" collapsed="false">
      <c r="A85" s="2" t="s">
        <v>16</v>
      </c>
      <c r="B85" s="2" t="s">
        <v>65</v>
      </c>
      <c r="C85" s="2" t="s">
        <v>625</v>
      </c>
      <c r="D85" s="2" t="s">
        <v>539</v>
      </c>
      <c r="E85" s="2" t="s">
        <v>67</v>
      </c>
      <c r="F85" s="2" t="s">
        <v>626</v>
      </c>
      <c r="G85" s="2" t="s">
        <v>627</v>
      </c>
      <c r="H85" s="2" t="s">
        <v>240</v>
      </c>
      <c r="I85" s="2" t="s">
        <v>70</v>
      </c>
      <c r="J85" s="2" t="s">
        <v>25</v>
      </c>
      <c r="K85" s="2"/>
      <c r="L85" s="2" t="s">
        <v>71</v>
      </c>
      <c r="M85" s="2" t="s">
        <v>46</v>
      </c>
      <c r="N85" s="2" t="s">
        <v>72</v>
      </c>
      <c r="O85" s="2" t="s">
        <v>29</v>
      </c>
      <c r="P85" s="2" t="s">
        <v>628</v>
      </c>
    </row>
    <row r="86" customFormat="false" ht="57.45" hidden="false" customHeight="false" outlineLevel="0" collapsed="false">
      <c r="A86" s="2" t="s">
        <v>16</v>
      </c>
      <c r="B86" s="2" t="s">
        <v>17</v>
      </c>
      <c r="C86" s="2" t="s">
        <v>629</v>
      </c>
      <c r="D86" s="2" t="s">
        <v>539</v>
      </c>
      <c r="E86" s="2" t="s">
        <v>67</v>
      </c>
      <c r="F86" s="2" t="s">
        <v>630</v>
      </c>
      <c r="G86" s="2" t="s">
        <v>631</v>
      </c>
      <c r="H86" s="2" t="s">
        <v>240</v>
      </c>
      <c r="I86" s="2" t="s">
        <v>108</v>
      </c>
      <c r="J86" s="2" t="s">
        <v>25</v>
      </c>
      <c r="K86" s="2"/>
      <c r="L86" s="2" t="s">
        <v>632</v>
      </c>
      <c r="M86" s="2" t="s">
        <v>46</v>
      </c>
      <c r="N86" s="2" t="s">
        <v>633</v>
      </c>
      <c r="O86" s="2" t="s">
        <v>29</v>
      </c>
      <c r="P86" s="2" t="s">
        <v>634</v>
      </c>
    </row>
    <row r="87" customFormat="false" ht="57.45" hidden="false" customHeight="false" outlineLevel="0" collapsed="false">
      <c r="A87" s="2" t="s">
        <v>16</v>
      </c>
      <c r="B87" s="2" t="s">
        <v>288</v>
      </c>
      <c r="C87" s="2" t="s">
        <v>635</v>
      </c>
      <c r="D87" s="2" t="s">
        <v>539</v>
      </c>
      <c r="E87" s="2" t="s">
        <v>67</v>
      </c>
      <c r="F87" s="2" t="s">
        <v>636</v>
      </c>
      <c r="G87" s="2" t="s">
        <v>637</v>
      </c>
      <c r="H87" s="2" t="s">
        <v>240</v>
      </c>
      <c r="I87" s="2" t="s">
        <v>108</v>
      </c>
      <c r="J87" s="2" t="s">
        <v>25</v>
      </c>
      <c r="K87" s="2"/>
      <c r="L87" s="2" t="s">
        <v>632</v>
      </c>
      <c r="M87" s="2" t="s">
        <v>46</v>
      </c>
      <c r="N87" s="2" t="s">
        <v>633</v>
      </c>
      <c r="O87" s="2" t="s">
        <v>29</v>
      </c>
      <c r="P87" s="2" t="s">
        <v>638</v>
      </c>
    </row>
    <row r="88" customFormat="false" ht="57.45" hidden="false" customHeight="false" outlineLevel="0" collapsed="false">
      <c r="A88" s="2" t="s">
        <v>16</v>
      </c>
      <c r="B88" s="2" t="s">
        <v>17</v>
      </c>
      <c r="C88" s="2" t="s">
        <v>639</v>
      </c>
      <c r="D88" s="2" t="s">
        <v>539</v>
      </c>
      <c r="E88" s="2" t="s">
        <v>67</v>
      </c>
      <c r="F88" s="2" t="s">
        <v>640</v>
      </c>
      <c r="G88" s="2" t="s">
        <v>641</v>
      </c>
      <c r="H88" s="2" t="s">
        <v>240</v>
      </c>
      <c r="I88" s="2" t="s">
        <v>127</v>
      </c>
      <c r="J88" s="2" t="s">
        <v>44</v>
      </c>
      <c r="K88" s="2" t="s">
        <v>93</v>
      </c>
      <c r="L88" s="2" t="s">
        <v>642</v>
      </c>
      <c r="M88" s="2" t="s">
        <v>27</v>
      </c>
      <c r="N88" s="2" t="s">
        <v>643</v>
      </c>
      <c r="O88" s="2" t="s">
        <v>29</v>
      </c>
      <c r="P88" s="2" t="s">
        <v>551</v>
      </c>
    </row>
    <row r="89" customFormat="false" ht="57.45" hidden="false" customHeight="false" outlineLevel="0" collapsed="false">
      <c r="A89" s="2" t="s">
        <v>16</v>
      </c>
      <c r="B89" s="2" t="s">
        <v>17</v>
      </c>
      <c r="C89" s="2" t="s">
        <v>644</v>
      </c>
      <c r="D89" s="2" t="s">
        <v>539</v>
      </c>
      <c r="E89" s="2" t="s">
        <v>67</v>
      </c>
      <c r="F89" s="2" t="s">
        <v>645</v>
      </c>
      <c r="G89" s="2" t="s">
        <v>646</v>
      </c>
      <c r="H89" s="2" t="s">
        <v>609</v>
      </c>
      <c r="I89" s="2" t="s">
        <v>647</v>
      </c>
      <c r="J89" s="2" t="s">
        <v>25</v>
      </c>
      <c r="K89" s="2" t="s">
        <v>93</v>
      </c>
      <c r="L89" s="2" t="s">
        <v>598</v>
      </c>
      <c r="M89" s="2" t="s">
        <v>46</v>
      </c>
      <c r="N89" s="2" t="s">
        <v>648</v>
      </c>
      <c r="O89" s="2" t="s">
        <v>29</v>
      </c>
      <c r="P89" s="2" t="s">
        <v>649</v>
      </c>
    </row>
    <row r="90" customFormat="false" ht="57.45" hidden="false" customHeight="false" outlineLevel="0" collapsed="false">
      <c r="A90" s="2" t="s">
        <v>16</v>
      </c>
      <c r="B90" s="2" t="s">
        <v>31</v>
      </c>
      <c r="C90" s="2" t="s">
        <v>650</v>
      </c>
      <c r="D90" s="2" t="s">
        <v>539</v>
      </c>
      <c r="E90" s="2" t="s">
        <v>67</v>
      </c>
      <c r="F90" s="2" t="s">
        <v>651</v>
      </c>
      <c r="G90" s="2" t="s">
        <v>652</v>
      </c>
      <c r="H90" s="2" t="s">
        <v>43</v>
      </c>
      <c r="I90" s="2" t="s">
        <v>653</v>
      </c>
      <c r="J90" s="2" t="s">
        <v>44</v>
      </c>
      <c r="K90" s="2" t="s">
        <v>93</v>
      </c>
      <c r="L90" s="2" t="s">
        <v>206</v>
      </c>
      <c r="M90" s="2" t="s">
        <v>46</v>
      </c>
      <c r="N90" s="2" t="s">
        <v>654</v>
      </c>
      <c r="O90" s="2" t="s">
        <v>29</v>
      </c>
      <c r="P90" s="2" t="s">
        <v>655</v>
      </c>
    </row>
    <row r="91" customFormat="false" ht="79.85" hidden="false" customHeight="false" outlineLevel="0" collapsed="false">
      <c r="A91" s="2" t="s">
        <v>16</v>
      </c>
      <c r="B91" s="2" t="s">
        <v>17</v>
      </c>
      <c r="C91" s="2" t="s">
        <v>656</v>
      </c>
      <c r="D91" s="2" t="s">
        <v>539</v>
      </c>
      <c r="E91" s="2" t="s">
        <v>67</v>
      </c>
      <c r="F91" s="2" t="s">
        <v>657</v>
      </c>
      <c r="G91" s="2" t="s">
        <v>658</v>
      </c>
      <c r="H91" s="2" t="s">
        <v>43</v>
      </c>
      <c r="I91" s="2" t="s">
        <v>272</v>
      </c>
      <c r="J91" s="2" t="s">
        <v>659</v>
      </c>
      <c r="K91" s="2" t="s">
        <v>93</v>
      </c>
      <c r="L91" s="2" t="s">
        <v>660</v>
      </c>
      <c r="M91" s="2" t="s">
        <v>46</v>
      </c>
      <c r="N91" s="2" t="s">
        <v>661</v>
      </c>
      <c r="O91" s="2" t="s">
        <v>29</v>
      </c>
      <c r="P91" s="2" t="s">
        <v>551</v>
      </c>
    </row>
    <row r="92" customFormat="false" ht="147" hidden="false" customHeight="false" outlineLevel="0" collapsed="false">
      <c r="A92" s="2" t="s">
        <v>16</v>
      </c>
      <c r="B92" s="2" t="s">
        <v>17</v>
      </c>
      <c r="C92" s="2" t="s">
        <v>662</v>
      </c>
      <c r="D92" s="2" t="s">
        <v>539</v>
      </c>
      <c r="E92" s="2" t="s">
        <v>593</v>
      </c>
      <c r="F92" s="2" t="s">
        <v>663</v>
      </c>
      <c r="G92" s="2" t="s">
        <v>664</v>
      </c>
      <c r="H92" s="2" t="s">
        <v>665</v>
      </c>
      <c r="I92" s="2" t="s">
        <v>226</v>
      </c>
      <c r="J92" s="2" t="s">
        <v>44</v>
      </c>
      <c r="K92" s="2" t="s">
        <v>666</v>
      </c>
      <c r="L92" s="2" t="s">
        <v>555</v>
      </c>
      <c r="M92" s="2" t="s">
        <v>243</v>
      </c>
      <c r="N92" s="2" t="s">
        <v>556</v>
      </c>
      <c r="O92" s="2" t="s">
        <v>29</v>
      </c>
      <c r="P92" s="2" t="s">
        <v>667</v>
      </c>
    </row>
    <row r="93" customFormat="false" ht="147" hidden="false" customHeight="false" outlineLevel="0" collapsed="false">
      <c r="A93" s="2" t="s">
        <v>16</v>
      </c>
      <c r="B93" s="2" t="s">
        <v>17</v>
      </c>
      <c r="C93" s="2" t="s">
        <v>668</v>
      </c>
      <c r="D93" s="2" t="s">
        <v>539</v>
      </c>
      <c r="E93" s="2" t="s">
        <v>20</v>
      </c>
      <c r="F93" s="2" t="s">
        <v>669</v>
      </c>
      <c r="G93" s="2" t="s">
        <v>670</v>
      </c>
      <c r="H93" s="2" t="s">
        <v>43</v>
      </c>
      <c r="I93" s="2" t="s">
        <v>542</v>
      </c>
      <c r="J93" s="2" t="s">
        <v>44</v>
      </c>
      <c r="K93" s="2" t="s">
        <v>671</v>
      </c>
      <c r="L93" s="2" t="s">
        <v>672</v>
      </c>
      <c r="M93" s="2" t="s">
        <v>46</v>
      </c>
      <c r="N93" s="2" t="s">
        <v>673</v>
      </c>
      <c r="O93" s="2" t="s">
        <v>29</v>
      </c>
      <c r="P93" s="2" t="s">
        <v>674</v>
      </c>
    </row>
    <row r="94" customFormat="false" ht="57.45" hidden="false" customHeight="false" outlineLevel="0" collapsed="false">
      <c r="A94" s="2" t="s">
        <v>16</v>
      </c>
      <c r="B94" s="2" t="s">
        <v>17</v>
      </c>
      <c r="C94" s="2" t="s">
        <v>675</v>
      </c>
      <c r="D94" s="2" t="s">
        <v>539</v>
      </c>
      <c r="E94" s="2" t="s">
        <v>20</v>
      </c>
      <c r="F94" s="2" t="s">
        <v>676</v>
      </c>
      <c r="G94" s="2" t="s">
        <v>677</v>
      </c>
      <c r="H94" s="2" t="s">
        <v>678</v>
      </c>
      <c r="I94" s="2" t="s">
        <v>226</v>
      </c>
      <c r="J94" s="2" t="s">
        <v>118</v>
      </c>
      <c r="K94" s="2" t="s">
        <v>679</v>
      </c>
      <c r="L94" s="2" t="s">
        <v>680</v>
      </c>
      <c r="M94" s="2" t="s">
        <v>27</v>
      </c>
      <c r="N94" s="2" t="s">
        <v>681</v>
      </c>
      <c r="O94" s="2" t="s">
        <v>29</v>
      </c>
      <c r="P94" s="2" t="s">
        <v>682</v>
      </c>
    </row>
    <row r="95" customFormat="false" ht="57.45" hidden="false" customHeight="false" outlineLevel="0" collapsed="false">
      <c r="A95" s="2" t="s">
        <v>683</v>
      </c>
      <c r="B95" s="2" t="s">
        <v>17</v>
      </c>
      <c r="C95" s="2" t="s">
        <v>684</v>
      </c>
      <c r="D95" s="2" t="s">
        <v>19</v>
      </c>
      <c r="E95" s="2" t="s">
        <v>20</v>
      </c>
      <c r="F95" s="2" t="s">
        <v>685</v>
      </c>
      <c r="G95" s="2" t="s">
        <v>686</v>
      </c>
      <c r="H95" s="2" t="s">
        <v>35</v>
      </c>
      <c r="I95" s="2" t="s">
        <v>687</v>
      </c>
      <c r="J95" s="2" t="s">
        <v>25</v>
      </c>
      <c r="K95" s="2"/>
      <c r="L95" s="2" t="s">
        <v>37</v>
      </c>
      <c r="M95" s="2" t="s">
        <v>27</v>
      </c>
      <c r="N95" s="2" t="s">
        <v>688</v>
      </c>
      <c r="O95" s="2" t="s">
        <v>29</v>
      </c>
      <c r="P95" s="2" t="s">
        <v>689</v>
      </c>
    </row>
    <row r="96" customFormat="false" ht="102.2" hidden="false" customHeight="false" outlineLevel="0" collapsed="false">
      <c r="A96" s="2" t="s">
        <v>683</v>
      </c>
      <c r="B96" s="2" t="s">
        <v>17</v>
      </c>
      <c r="C96" s="2" t="s">
        <v>690</v>
      </c>
      <c r="D96" s="2" t="s">
        <v>19</v>
      </c>
      <c r="E96" s="2" t="s">
        <v>20</v>
      </c>
      <c r="F96" s="2" t="s">
        <v>691</v>
      </c>
      <c r="G96" s="2" t="s">
        <v>692</v>
      </c>
      <c r="H96" s="2" t="s">
        <v>693</v>
      </c>
      <c r="I96" s="2" t="s">
        <v>226</v>
      </c>
      <c r="J96" s="2" t="s">
        <v>44</v>
      </c>
      <c r="K96" s="2"/>
      <c r="L96" s="2" t="s">
        <v>694</v>
      </c>
      <c r="M96" s="2" t="s">
        <v>27</v>
      </c>
      <c r="N96" s="2" t="s">
        <v>695</v>
      </c>
      <c r="O96" s="2" t="s">
        <v>29</v>
      </c>
      <c r="P96" s="2" t="s">
        <v>696</v>
      </c>
    </row>
    <row r="97" customFormat="false" ht="79.85" hidden="false" customHeight="false" outlineLevel="0" collapsed="false">
      <c r="A97" s="2" t="s">
        <v>683</v>
      </c>
      <c r="B97" s="2" t="s">
        <v>17</v>
      </c>
      <c r="C97" s="2" t="s">
        <v>697</v>
      </c>
      <c r="D97" s="2" t="s">
        <v>50</v>
      </c>
      <c r="E97" s="2" t="s">
        <v>20</v>
      </c>
      <c r="F97" s="2" t="s">
        <v>698</v>
      </c>
      <c r="G97" s="2" t="s">
        <v>699</v>
      </c>
      <c r="H97" s="2" t="s">
        <v>35</v>
      </c>
      <c r="I97" s="2" t="s">
        <v>700</v>
      </c>
      <c r="J97" s="2" t="s">
        <v>44</v>
      </c>
      <c r="K97" s="2"/>
      <c r="L97" s="2" t="s">
        <v>701</v>
      </c>
      <c r="M97" s="2" t="s">
        <v>160</v>
      </c>
      <c r="N97" s="2" t="s">
        <v>702</v>
      </c>
      <c r="O97" s="2" t="s">
        <v>29</v>
      </c>
      <c r="P97" s="2" t="s">
        <v>703</v>
      </c>
    </row>
    <row r="98" customFormat="false" ht="57.45" hidden="false" customHeight="false" outlineLevel="0" collapsed="false">
      <c r="A98" s="2" t="s">
        <v>683</v>
      </c>
      <c r="B98" s="2" t="s">
        <v>288</v>
      </c>
      <c r="C98" s="2" t="s">
        <v>704</v>
      </c>
      <c r="D98" s="2" t="s">
        <v>50</v>
      </c>
      <c r="E98" s="2" t="s">
        <v>20</v>
      </c>
      <c r="F98" s="2" t="s">
        <v>705</v>
      </c>
      <c r="G98" s="2" t="s">
        <v>706</v>
      </c>
      <c r="H98" s="2" t="s">
        <v>35</v>
      </c>
      <c r="I98" s="2" t="s">
        <v>405</v>
      </c>
      <c r="J98" s="2" t="s">
        <v>25</v>
      </c>
      <c r="K98" s="2"/>
      <c r="L98" s="2" t="s">
        <v>707</v>
      </c>
      <c r="M98" s="2" t="s">
        <v>27</v>
      </c>
      <c r="N98" s="2" t="s">
        <v>708</v>
      </c>
      <c r="O98" s="2" t="s">
        <v>29</v>
      </c>
      <c r="P98" s="2" t="s">
        <v>709</v>
      </c>
    </row>
    <row r="99" customFormat="false" ht="57.45" hidden="false" customHeight="false" outlineLevel="0" collapsed="false">
      <c r="A99" s="2" t="s">
        <v>683</v>
      </c>
      <c r="B99" s="2" t="s">
        <v>31</v>
      </c>
      <c r="C99" s="2" t="s">
        <v>710</v>
      </c>
      <c r="D99" s="2" t="s">
        <v>50</v>
      </c>
      <c r="E99" s="2" t="s">
        <v>67</v>
      </c>
      <c r="F99" s="2" t="s">
        <v>711</v>
      </c>
      <c r="G99" s="2" t="s">
        <v>712</v>
      </c>
      <c r="H99" s="2" t="s">
        <v>35</v>
      </c>
      <c r="I99" s="2" t="s">
        <v>713</v>
      </c>
      <c r="J99" s="2" t="s">
        <v>25</v>
      </c>
      <c r="K99" s="2"/>
      <c r="L99" s="2" t="s">
        <v>714</v>
      </c>
      <c r="M99" s="2" t="s">
        <v>27</v>
      </c>
      <c r="N99" s="2" t="s">
        <v>715</v>
      </c>
      <c r="O99" s="2" t="s">
        <v>29</v>
      </c>
      <c r="P99" s="2" t="s">
        <v>716</v>
      </c>
    </row>
    <row r="100" customFormat="false" ht="57.45" hidden="false" customHeight="false" outlineLevel="0" collapsed="false">
      <c r="A100" s="2" t="s">
        <v>683</v>
      </c>
      <c r="B100" s="2" t="s">
        <v>254</v>
      </c>
      <c r="C100" s="2" t="s">
        <v>717</v>
      </c>
      <c r="D100" s="2" t="s">
        <v>50</v>
      </c>
      <c r="E100" s="2" t="s">
        <v>20</v>
      </c>
      <c r="F100" s="2" t="s">
        <v>718</v>
      </c>
      <c r="G100" s="2" t="s">
        <v>719</v>
      </c>
      <c r="H100" s="2" t="s">
        <v>35</v>
      </c>
      <c r="I100" s="2" t="s">
        <v>720</v>
      </c>
      <c r="J100" s="2" t="s">
        <v>25</v>
      </c>
      <c r="K100" s="2"/>
      <c r="L100" s="2" t="s">
        <v>721</v>
      </c>
      <c r="M100" s="2" t="s">
        <v>243</v>
      </c>
      <c r="N100" s="2" t="s">
        <v>722</v>
      </c>
      <c r="O100" s="2" t="s">
        <v>29</v>
      </c>
      <c r="P100" s="2" t="s">
        <v>723</v>
      </c>
    </row>
    <row r="101" customFormat="false" ht="91" hidden="false" customHeight="false" outlineLevel="0" collapsed="false">
      <c r="A101" s="2" t="s">
        <v>683</v>
      </c>
      <c r="B101" s="2" t="s">
        <v>17</v>
      </c>
      <c r="C101" s="2" t="s">
        <v>724</v>
      </c>
      <c r="D101" s="2" t="s">
        <v>50</v>
      </c>
      <c r="E101" s="2" t="s">
        <v>20</v>
      </c>
      <c r="F101" s="2" t="s">
        <v>725</v>
      </c>
      <c r="G101" s="2" t="s">
        <v>726</v>
      </c>
      <c r="H101" s="2" t="s">
        <v>35</v>
      </c>
      <c r="I101" s="2" t="s">
        <v>108</v>
      </c>
      <c r="J101" s="2" t="s">
        <v>44</v>
      </c>
      <c r="K101" s="2"/>
      <c r="L101" s="2" t="s">
        <v>727</v>
      </c>
      <c r="M101" s="2" t="s">
        <v>46</v>
      </c>
      <c r="N101" s="2" t="s">
        <v>728</v>
      </c>
      <c r="O101" s="2" t="s">
        <v>29</v>
      </c>
      <c r="P101" s="2" t="s">
        <v>729</v>
      </c>
    </row>
    <row r="102" customFormat="false" ht="79.85" hidden="false" customHeight="false" outlineLevel="0" collapsed="false">
      <c r="A102" s="2" t="s">
        <v>683</v>
      </c>
      <c r="B102" s="2" t="s">
        <v>17</v>
      </c>
      <c r="C102" s="2" t="s">
        <v>730</v>
      </c>
      <c r="D102" s="2" t="s">
        <v>50</v>
      </c>
      <c r="E102" s="2" t="s">
        <v>20</v>
      </c>
      <c r="F102" s="2" t="s">
        <v>731</v>
      </c>
      <c r="G102" s="2" t="s">
        <v>732</v>
      </c>
      <c r="H102" s="2" t="s">
        <v>35</v>
      </c>
      <c r="I102" s="2" t="s">
        <v>36</v>
      </c>
      <c r="J102" s="2" t="s">
        <v>44</v>
      </c>
      <c r="K102" s="2"/>
      <c r="L102" s="2" t="s">
        <v>733</v>
      </c>
      <c r="M102" s="2" t="s">
        <v>27</v>
      </c>
      <c r="N102" s="2" t="s">
        <v>734</v>
      </c>
      <c r="O102" s="2" t="s">
        <v>29</v>
      </c>
      <c r="P102" s="2" t="s">
        <v>56</v>
      </c>
    </row>
    <row r="103" customFormat="false" ht="57.45" hidden="false" customHeight="false" outlineLevel="0" collapsed="false">
      <c r="A103" s="2" t="s">
        <v>683</v>
      </c>
      <c r="B103" s="2" t="s">
        <v>169</v>
      </c>
      <c r="C103" s="2" t="s">
        <v>88</v>
      </c>
      <c r="D103" s="2" t="s">
        <v>89</v>
      </c>
      <c r="E103" s="2" t="s">
        <v>20</v>
      </c>
      <c r="F103" s="2" t="s">
        <v>735</v>
      </c>
      <c r="G103" s="2" t="s">
        <v>736</v>
      </c>
      <c r="H103" s="2" t="s">
        <v>737</v>
      </c>
      <c r="I103" s="2" t="s">
        <v>738</v>
      </c>
      <c r="J103" s="2" t="s">
        <v>44</v>
      </c>
      <c r="K103" s="2" t="s">
        <v>739</v>
      </c>
      <c r="L103" s="2" t="s">
        <v>740</v>
      </c>
      <c r="M103" s="2" t="s">
        <v>46</v>
      </c>
      <c r="N103" s="2" t="s">
        <v>741</v>
      </c>
      <c r="O103" s="2" t="s">
        <v>29</v>
      </c>
      <c r="P103" s="2" t="s">
        <v>742</v>
      </c>
    </row>
    <row r="104" customFormat="false" ht="79.85" hidden="false" customHeight="false" outlineLevel="0" collapsed="false">
      <c r="A104" s="2" t="s">
        <v>683</v>
      </c>
      <c r="B104" s="2" t="s">
        <v>17</v>
      </c>
      <c r="C104" s="2" t="s">
        <v>88</v>
      </c>
      <c r="D104" s="2" t="s">
        <v>89</v>
      </c>
      <c r="E104" s="2" t="s">
        <v>20</v>
      </c>
      <c r="F104" s="2" t="s">
        <v>743</v>
      </c>
      <c r="G104" s="2" t="s">
        <v>744</v>
      </c>
      <c r="H104" s="2" t="s">
        <v>737</v>
      </c>
      <c r="I104" s="2" t="s">
        <v>345</v>
      </c>
      <c r="J104" s="2" t="s">
        <v>44</v>
      </c>
      <c r="K104" s="2" t="s">
        <v>745</v>
      </c>
      <c r="L104" s="2" t="s">
        <v>746</v>
      </c>
      <c r="M104" s="2" t="s">
        <v>46</v>
      </c>
      <c r="N104" s="2" t="s">
        <v>747</v>
      </c>
      <c r="O104" s="2" t="s">
        <v>29</v>
      </c>
      <c r="P104" s="2" t="s">
        <v>748</v>
      </c>
    </row>
    <row r="105" customFormat="false" ht="57.45" hidden="false" customHeight="false" outlineLevel="0" collapsed="false">
      <c r="A105" s="2" t="s">
        <v>683</v>
      </c>
      <c r="B105" s="2" t="s">
        <v>17</v>
      </c>
      <c r="C105" s="2" t="s">
        <v>749</v>
      </c>
      <c r="D105" s="2" t="s">
        <v>89</v>
      </c>
      <c r="E105" s="2" t="s">
        <v>20</v>
      </c>
      <c r="F105" s="2" t="s">
        <v>750</v>
      </c>
      <c r="G105" s="2" t="s">
        <v>751</v>
      </c>
      <c r="H105" s="2" t="s">
        <v>258</v>
      </c>
      <c r="I105" s="2" t="s">
        <v>752</v>
      </c>
      <c r="J105" s="2" t="s">
        <v>44</v>
      </c>
      <c r="K105" s="2"/>
      <c r="L105" s="2" t="s">
        <v>753</v>
      </c>
      <c r="M105" s="2" t="s">
        <v>160</v>
      </c>
      <c r="N105" s="2" t="s">
        <v>754</v>
      </c>
      <c r="O105" s="2" t="s">
        <v>29</v>
      </c>
      <c r="P105" s="2" t="s">
        <v>755</v>
      </c>
    </row>
    <row r="106" customFormat="false" ht="57.45" hidden="false" customHeight="false" outlineLevel="0" collapsed="false">
      <c r="A106" s="2" t="s">
        <v>683</v>
      </c>
      <c r="B106" s="2" t="s">
        <v>169</v>
      </c>
      <c r="C106" s="2" t="s">
        <v>88</v>
      </c>
      <c r="D106" s="2" t="s">
        <v>89</v>
      </c>
      <c r="E106" s="2" t="s">
        <v>20</v>
      </c>
      <c r="F106" s="2" t="s">
        <v>756</v>
      </c>
      <c r="G106" s="2" t="s">
        <v>757</v>
      </c>
      <c r="H106" s="2" t="s">
        <v>99</v>
      </c>
      <c r="I106" s="2" t="s">
        <v>226</v>
      </c>
      <c r="J106" s="2" t="s">
        <v>44</v>
      </c>
      <c r="K106" s="2"/>
      <c r="L106" s="2" t="s">
        <v>756</v>
      </c>
      <c r="M106" s="2" t="s">
        <v>27</v>
      </c>
      <c r="N106" s="2" t="s">
        <v>758</v>
      </c>
      <c r="O106" s="2" t="s">
        <v>29</v>
      </c>
      <c r="P106" s="2" t="s">
        <v>759</v>
      </c>
    </row>
    <row r="107" customFormat="false" ht="91" hidden="false" customHeight="false" outlineLevel="0" collapsed="false">
      <c r="A107" s="2" t="s">
        <v>683</v>
      </c>
      <c r="B107" s="2" t="s">
        <v>17</v>
      </c>
      <c r="C107" s="2" t="s">
        <v>760</v>
      </c>
      <c r="D107" s="2" t="s">
        <v>89</v>
      </c>
      <c r="E107" s="2" t="s">
        <v>20</v>
      </c>
      <c r="F107" s="2" t="s">
        <v>761</v>
      </c>
      <c r="G107" s="2" t="s">
        <v>762</v>
      </c>
      <c r="H107" s="2" t="s">
        <v>99</v>
      </c>
      <c r="I107" s="2" t="s">
        <v>763</v>
      </c>
      <c r="J107" s="2" t="s">
        <v>44</v>
      </c>
      <c r="K107" s="2"/>
      <c r="L107" s="2" t="s">
        <v>764</v>
      </c>
      <c r="M107" s="2" t="s">
        <v>27</v>
      </c>
      <c r="N107" s="2" t="s">
        <v>765</v>
      </c>
      <c r="O107" s="2" t="s">
        <v>29</v>
      </c>
      <c r="P107" s="2" t="s">
        <v>766</v>
      </c>
    </row>
    <row r="108" customFormat="false" ht="113.4" hidden="false" customHeight="false" outlineLevel="0" collapsed="false">
      <c r="A108" s="2" t="s">
        <v>683</v>
      </c>
      <c r="B108" s="2" t="s">
        <v>17</v>
      </c>
      <c r="C108" s="2" t="s">
        <v>767</v>
      </c>
      <c r="D108" s="2" t="s">
        <v>89</v>
      </c>
      <c r="E108" s="2" t="s">
        <v>20</v>
      </c>
      <c r="F108" s="2" t="s">
        <v>768</v>
      </c>
      <c r="G108" s="2" t="s">
        <v>769</v>
      </c>
      <c r="H108" s="2" t="s">
        <v>99</v>
      </c>
      <c r="I108" s="2" t="s">
        <v>763</v>
      </c>
      <c r="J108" s="2" t="s">
        <v>44</v>
      </c>
      <c r="K108" s="2"/>
      <c r="L108" s="2" t="s">
        <v>770</v>
      </c>
      <c r="M108" s="2" t="s">
        <v>27</v>
      </c>
      <c r="N108" s="2" t="s">
        <v>771</v>
      </c>
      <c r="O108" s="2" t="s">
        <v>29</v>
      </c>
      <c r="P108" s="2" t="s">
        <v>772</v>
      </c>
    </row>
    <row r="109" customFormat="false" ht="91" hidden="false" customHeight="false" outlineLevel="0" collapsed="false">
      <c r="A109" s="2" t="s">
        <v>683</v>
      </c>
      <c r="B109" s="2" t="s">
        <v>17</v>
      </c>
      <c r="C109" s="2" t="s">
        <v>88</v>
      </c>
      <c r="D109" s="2" t="s">
        <v>89</v>
      </c>
      <c r="E109" s="2" t="s">
        <v>20</v>
      </c>
      <c r="F109" s="2" t="s">
        <v>773</v>
      </c>
      <c r="G109" s="2" t="s">
        <v>774</v>
      </c>
      <c r="H109" s="2" t="s">
        <v>775</v>
      </c>
      <c r="I109" s="2" t="s">
        <v>226</v>
      </c>
      <c r="J109" s="2" t="s">
        <v>118</v>
      </c>
      <c r="K109" s="2"/>
      <c r="L109" s="2" t="s">
        <v>776</v>
      </c>
      <c r="M109" s="2" t="s">
        <v>27</v>
      </c>
      <c r="N109" s="2" t="s">
        <v>777</v>
      </c>
      <c r="O109" s="2" t="s">
        <v>29</v>
      </c>
      <c r="P109" s="2" t="s">
        <v>778</v>
      </c>
    </row>
    <row r="110" customFormat="false" ht="79.85" hidden="false" customHeight="false" outlineLevel="0" collapsed="false">
      <c r="A110" s="2" t="s">
        <v>683</v>
      </c>
      <c r="B110" s="2" t="s">
        <v>17</v>
      </c>
      <c r="C110" s="2" t="s">
        <v>779</v>
      </c>
      <c r="D110" s="2" t="s">
        <v>89</v>
      </c>
      <c r="E110" s="2" t="s">
        <v>20</v>
      </c>
      <c r="F110" s="2" t="s">
        <v>780</v>
      </c>
      <c r="G110" s="2" t="s">
        <v>781</v>
      </c>
      <c r="H110" s="2" t="s">
        <v>737</v>
      </c>
      <c r="I110" s="2" t="s">
        <v>460</v>
      </c>
      <c r="J110" s="2" t="s">
        <v>44</v>
      </c>
      <c r="K110" s="2" t="s">
        <v>782</v>
      </c>
      <c r="L110" s="2" t="s">
        <v>783</v>
      </c>
      <c r="M110" s="2" t="s">
        <v>27</v>
      </c>
      <c r="N110" s="2" t="s">
        <v>784</v>
      </c>
      <c r="O110" s="2" t="s">
        <v>29</v>
      </c>
      <c r="P110" s="2" t="s">
        <v>785</v>
      </c>
    </row>
    <row r="111" customFormat="false" ht="79.85" hidden="false" customHeight="false" outlineLevel="0" collapsed="false">
      <c r="A111" s="2" t="s">
        <v>683</v>
      </c>
      <c r="B111" s="2" t="s">
        <v>17</v>
      </c>
      <c r="C111" s="2" t="s">
        <v>786</v>
      </c>
      <c r="D111" s="2" t="s">
        <v>89</v>
      </c>
      <c r="E111" s="2" t="s">
        <v>20</v>
      </c>
      <c r="F111" s="2" t="s">
        <v>787</v>
      </c>
      <c r="G111" s="2" t="s">
        <v>788</v>
      </c>
      <c r="H111" s="2" t="s">
        <v>99</v>
      </c>
      <c r="I111" s="2" t="s">
        <v>226</v>
      </c>
      <c r="J111" s="2" t="s">
        <v>44</v>
      </c>
      <c r="K111" s="2"/>
      <c r="L111" s="2" t="s">
        <v>789</v>
      </c>
      <c r="M111" s="2" t="s">
        <v>46</v>
      </c>
      <c r="N111" s="2" t="s">
        <v>790</v>
      </c>
      <c r="O111" s="2" t="s">
        <v>29</v>
      </c>
      <c r="P111" s="2" t="s">
        <v>785</v>
      </c>
    </row>
    <row r="112" customFormat="false" ht="79.85" hidden="false" customHeight="false" outlineLevel="0" collapsed="false">
      <c r="A112" s="2" t="s">
        <v>683</v>
      </c>
      <c r="B112" s="2" t="s">
        <v>17</v>
      </c>
      <c r="C112" s="2" t="s">
        <v>88</v>
      </c>
      <c r="D112" s="2" t="s">
        <v>89</v>
      </c>
      <c r="E112" s="2" t="s">
        <v>20</v>
      </c>
      <c r="F112" s="2" t="s">
        <v>791</v>
      </c>
      <c r="G112" s="2" t="s">
        <v>792</v>
      </c>
      <c r="H112" s="2" t="s">
        <v>99</v>
      </c>
      <c r="I112" s="2" t="s">
        <v>226</v>
      </c>
      <c r="J112" s="2" t="s">
        <v>44</v>
      </c>
      <c r="K112" s="2"/>
      <c r="L112" s="2" t="s">
        <v>791</v>
      </c>
      <c r="M112" s="2" t="s">
        <v>27</v>
      </c>
      <c r="N112" s="2" t="s">
        <v>793</v>
      </c>
      <c r="O112" s="2" t="s">
        <v>29</v>
      </c>
      <c r="P112" s="2" t="s">
        <v>785</v>
      </c>
    </row>
    <row r="113" customFormat="false" ht="158.2" hidden="false" customHeight="false" outlineLevel="0" collapsed="false">
      <c r="A113" s="2" t="s">
        <v>683</v>
      </c>
      <c r="B113" s="2" t="s">
        <v>17</v>
      </c>
      <c r="C113" s="2" t="s">
        <v>794</v>
      </c>
      <c r="D113" s="2" t="s">
        <v>139</v>
      </c>
      <c r="E113" s="2" t="s">
        <v>140</v>
      </c>
      <c r="F113" s="2" t="s">
        <v>795</v>
      </c>
      <c r="G113" s="2" t="s">
        <v>796</v>
      </c>
      <c r="H113" s="2" t="s">
        <v>797</v>
      </c>
      <c r="I113" s="2" t="s">
        <v>798</v>
      </c>
      <c r="J113" s="2" t="s">
        <v>44</v>
      </c>
      <c r="K113" s="2"/>
      <c r="L113" s="2" t="s">
        <v>799</v>
      </c>
      <c r="M113" s="2" t="s">
        <v>160</v>
      </c>
      <c r="N113" s="2" t="s">
        <v>800</v>
      </c>
      <c r="O113" s="2" t="s">
        <v>29</v>
      </c>
      <c r="P113" s="2" t="s">
        <v>801</v>
      </c>
    </row>
    <row r="114" customFormat="false" ht="57.45" hidden="false" customHeight="false" outlineLevel="0" collapsed="false">
      <c r="A114" s="2" t="s">
        <v>683</v>
      </c>
      <c r="B114" s="2" t="s">
        <v>17</v>
      </c>
      <c r="C114" s="2" t="s">
        <v>802</v>
      </c>
      <c r="D114" s="2" t="s">
        <v>139</v>
      </c>
      <c r="E114" s="2" t="s">
        <v>140</v>
      </c>
      <c r="F114" s="2" t="s">
        <v>803</v>
      </c>
      <c r="G114" s="2" t="s">
        <v>804</v>
      </c>
      <c r="H114" s="2" t="s">
        <v>35</v>
      </c>
      <c r="I114" s="2" t="s">
        <v>805</v>
      </c>
      <c r="J114" s="2" t="s">
        <v>25</v>
      </c>
      <c r="K114" s="2"/>
      <c r="L114" s="2" t="s">
        <v>806</v>
      </c>
      <c r="M114" s="2" t="s">
        <v>160</v>
      </c>
      <c r="N114" s="2" t="s">
        <v>807</v>
      </c>
      <c r="O114" s="2" t="s">
        <v>29</v>
      </c>
      <c r="P114" s="2" t="s">
        <v>808</v>
      </c>
    </row>
    <row r="115" customFormat="false" ht="68.65" hidden="false" customHeight="false" outlineLevel="0" collapsed="false">
      <c r="A115" s="2" t="s">
        <v>683</v>
      </c>
      <c r="B115" s="2" t="s">
        <v>31</v>
      </c>
      <c r="C115" s="2" t="s">
        <v>809</v>
      </c>
      <c r="D115" s="2" t="s">
        <v>139</v>
      </c>
      <c r="E115" s="2" t="s">
        <v>140</v>
      </c>
      <c r="F115" s="2" t="s">
        <v>810</v>
      </c>
      <c r="G115" s="2" t="s">
        <v>811</v>
      </c>
      <c r="H115" s="2" t="s">
        <v>35</v>
      </c>
      <c r="I115" s="2" t="s">
        <v>812</v>
      </c>
      <c r="J115" s="2" t="s">
        <v>25</v>
      </c>
      <c r="K115" s="2"/>
      <c r="L115" s="2" t="s">
        <v>813</v>
      </c>
      <c r="M115" s="2" t="s">
        <v>27</v>
      </c>
      <c r="N115" s="2" t="s">
        <v>814</v>
      </c>
      <c r="O115" s="2" t="s">
        <v>29</v>
      </c>
      <c r="P115" s="2" t="s">
        <v>815</v>
      </c>
    </row>
    <row r="116" customFormat="false" ht="57.45" hidden="false" customHeight="false" outlineLevel="0" collapsed="false">
      <c r="A116" s="2" t="s">
        <v>683</v>
      </c>
      <c r="B116" s="2" t="s">
        <v>17</v>
      </c>
      <c r="C116" s="2" t="s">
        <v>816</v>
      </c>
      <c r="D116" s="2" t="s">
        <v>139</v>
      </c>
      <c r="E116" s="2" t="s">
        <v>140</v>
      </c>
      <c r="F116" s="2" t="s">
        <v>817</v>
      </c>
      <c r="G116" s="2" t="s">
        <v>818</v>
      </c>
      <c r="H116" s="2" t="s">
        <v>35</v>
      </c>
      <c r="I116" s="2" t="s">
        <v>36</v>
      </c>
      <c r="J116" s="2" t="s">
        <v>25</v>
      </c>
      <c r="K116" s="2"/>
      <c r="L116" s="2" t="s">
        <v>819</v>
      </c>
      <c r="M116" s="2" t="s">
        <v>27</v>
      </c>
      <c r="N116" s="2" t="s">
        <v>820</v>
      </c>
      <c r="O116" s="2" t="s">
        <v>29</v>
      </c>
      <c r="P116" s="2" t="s">
        <v>821</v>
      </c>
    </row>
    <row r="117" customFormat="false" ht="57.45" hidden="false" customHeight="false" outlineLevel="0" collapsed="false">
      <c r="A117" s="2" t="s">
        <v>683</v>
      </c>
      <c r="B117" s="2" t="s">
        <v>17</v>
      </c>
      <c r="C117" s="2" t="s">
        <v>822</v>
      </c>
      <c r="D117" s="2" t="s">
        <v>139</v>
      </c>
      <c r="E117" s="2" t="s">
        <v>140</v>
      </c>
      <c r="F117" s="2" t="s">
        <v>823</v>
      </c>
      <c r="G117" s="2" t="s">
        <v>824</v>
      </c>
      <c r="H117" s="2" t="s">
        <v>35</v>
      </c>
      <c r="I117" s="2" t="s">
        <v>825</v>
      </c>
      <c r="J117" s="2" t="s">
        <v>25</v>
      </c>
      <c r="K117" s="2"/>
      <c r="L117" s="2" t="s">
        <v>826</v>
      </c>
      <c r="M117" s="2" t="s">
        <v>27</v>
      </c>
      <c r="N117" s="2" t="s">
        <v>827</v>
      </c>
      <c r="O117" s="2" t="s">
        <v>29</v>
      </c>
      <c r="P117" s="2" t="s">
        <v>828</v>
      </c>
    </row>
    <row r="118" customFormat="false" ht="180.55" hidden="false" customHeight="false" outlineLevel="0" collapsed="false">
      <c r="A118" s="2" t="s">
        <v>683</v>
      </c>
      <c r="B118" s="2" t="s">
        <v>31</v>
      </c>
      <c r="C118" s="2" t="s">
        <v>829</v>
      </c>
      <c r="D118" s="2" t="s">
        <v>193</v>
      </c>
      <c r="E118" s="2" t="s">
        <v>20</v>
      </c>
      <c r="F118" s="2" t="s">
        <v>830</v>
      </c>
      <c r="G118" s="2" t="s">
        <v>831</v>
      </c>
      <c r="H118" s="2" t="s">
        <v>832</v>
      </c>
      <c r="I118" s="2" t="s">
        <v>226</v>
      </c>
      <c r="J118" s="2" t="s">
        <v>584</v>
      </c>
      <c r="K118" s="2"/>
      <c r="L118" s="2" t="s">
        <v>833</v>
      </c>
      <c r="M118" s="2" t="s">
        <v>243</v>
      </c>
      <c r="N118" s="2" t="s">
        <v>834</v>
      </c>
      <c r="O118" s="2" t="s">
        <v>29</v>
      </c>
      <c r="P118" s="2" t="s">
        <v>835</v>
      </c>
    </row>
    <row r="119" customFormat="false" ht="147" hidden="false" customHeight="false" outlineLevel="0" collapsed="false">
      <c r="A119" s="2" t="s">
        <v>683</v>
      </c>
      <c r="B119" s="2" t="s">
        <v>65</v>
      </c>
      <c r="C119" s="2" t="s">
        <v>836</v>
      </c>
      <c r="D119" s="2" t="s">
        <v>193</v>
      </c>
      <c r="E119" s="2" t="s">
        <v>20</v>
      </c>
      <c r="F119" s="2" t="s">
        <v>837</v>
      </c>
      <c r="G119" s="2" t="s">
        <v>838</v>
      </c>
      <c r="H119" s="2" t="s">
        <v>839</v>
      </c>
      <c r="I119" s="2" t="s">
        <v>405</v>
      </c>
      <c r="J119" s="2" t="s">
        <v>840</v>
      </c>
      <c r="K119" s="2"/>
      <c r="L119" s="2" t="s">
        <v>841</v>
      </c>
      <c r="M119" s="2" t="s">
        <v>27</v>
      </c>
      <c r="N119" s="2" t="s">
        <v>842</v>
      </c>
      <c r="O119" s="2" t="s">
        <v>29</v>
      </c>
      <c r="P119" s="2" t="s">
        <v>843</v>
      </c>
    </row>
    <row r="120" customFormat="false" ht="91" hidden="false" customHeight="false" outlineLevel="0" collapsed="false">
      <c r="A120" s="2" t="s">
        <v>683</v>
      </c>
      <c r="B120" s="2" t="s">
        <v>17</v>
      </c>
      <c r="C120" s="2" t="s">
        <v>844</v>
      </c>
      <c r="D120" s="2" t="s">
        <v>193</v>
      </c>
      <c r="E120" s="2" t="s">
        <v>20</v>
      </c>
      <c r="F120" s="2" t="s">
        <v>845</v>
      </c>
      <c r="G120" s="2" t="s">
        <v>846</v>
      </c>
      <c r="H120" s="2" t="s">
        <v>847</v>
      </c>
      <c r="I120" s="2" t="s">
        <v>226</v>
      </c>
      <c r="J120" s="2" t="s">
        <v>584</v>
      </c>
      <c r="K120" s="2"/>
      <c r="L120" s="2" t="s">
        <v>848</v>
      </c>
      <c r="M120" s="2" t="s">
        <v>160</v>
      </c>
      <c r="N120" s="2" t="s">
        <v>849</v>
      </c>
      <c r="O120" s="2" t="s">
        <v>29</v>
      </c>
      <c r="P120" s="2" t="s">
        <v>850</v>
      </c>
    </row>
    <row r="121" customFormat="false" ht="79.85" hidden="false" customHeight="false" outlineLevel="0" collapsed="false">
      <c r="A121" s="2" t="s">
        <v>683</v>
      </c>
      <c r="B121" s="2" t="s">
        <v>17</v>
      </c>
      <c r="C121" s="2" t="s">
        <v>851</v>
      </c>
      <c r="D121" s="2" t="s">
        <v>193</v>
      </c>
      <c r="E121" s="2" t="s">
        <v>20</v>
      </c>
      <c r="F121" s="2" t="s">
        <v>852</v>
      </c>
      <c r="G121" s="2" t="s">
        <v>853</v>
      </c>
      <c r="H121" s="2" t="s">
        <v>832</v>
      </c>
      <c r="I121" s="2" t="s">
        <v>226</v>
      </c>
      <c r="J121" s="2" t="s">
        <v>584</v>
      </c>
      <c r="K121" s="2"/>
      <c r="L121" s="2" t="s">
        <v>833</v>
      </c>
      <c r="M121" s="2" t="s">
        <v>243</v>
      </c>
      <c r="N121" s="2" t="s">
        <v>834</v>
      </c>
      <c r="O121" s="2" t="s">
        <v>29</v>
      </c>
      <c r="P121" s="2" t="s">
        <v>854</v>
      </c>
    </row>
    <row r="122" customFormat="false" ht="102.2" hidden="false" customHeight="false" outlineLevel="0" collapsed="false">
      <c r="A122" s="2" t="s">
        <v>683</v>
      </c>
      <c r="B122" s="2" t="s">
        <v>17</v>
      </c>
      <c r="C122" s="2" t="s">
        <v>855</v>
      </c>
      <c r="D122" s="2" t="s">
        <v>193</v>
      </c>
      <c r="E122" s="2" t="s">
        <v>20</v>
      </c>
      <c r="F122" s="2" t="s">
        <v>856</v>
      </c>
      <c r="G122" s="2" t="s">
        <v>857</v>
      </c>
      <c r="H122" s="2" t="s">
        <v>858</v>
      </c>
      <c r="I122" s="2" t="s">
        <v>226</v>
      </c>
      <c r="J122" s="2" t="s">
        <v>44</v>
      </c>
      <c r="K122" s="2"/>
      <c r="L122" s="2" t="s">
        <v>859</v>
      </c>
      <c r="M122" s="2" t="s">
        <v>27</v>
      </c>
      <c r="N122" s="2" t="s">
        <v>860</v>
      </c>
      <c r="O122" s="2" t="s">
        <v>29</v>
      </c>
      <c r="P122" s="2" t="s">
        <v>861</v>
      </c>
    </row>
    <row r="123" customFormat="false" ht="91" hidden="false" customHeight="false" outlineLevel="0" collapsed="false">
      <c r="A123" s="2" t="s">
        <v>683</v>
      </c>
      <c r="B123" s="2" t="s">
        <v>17</v>
      </c>
      <c r="C123" s="2" t="s">
        <v>862</v>
      </c>
      <c r="D123" s="2" t="s">
        <v>193</v>
      </c>
      <c r="E123" s="2" t="s">
        <v>20</v>
      </c>
      <c r="F123" s="2" t="s">
        <v>863</v>
      </c>
      <c r="G123" s="2" t="s">
        <v>864</v>
      </c>
      <c r="H123" s="2" t="s">
        <v>865</v>
      </c>
      <c r="I123" s="2" t="s">
        <v>866</v>
      </c>
      <c r="J123" s="2" t="s">
        <v>44</v>
      </c>
      <c r="K123" s="2"/>
      <c r="L123" s="2" t="s">
        <v>867</v>
      </c>
      <c r="M123" s="2" t="s">
        <v>27</v>
      </c>
      <c r="N123" s="2" t="s">
        <v>868</v>
      </c>
      <c r="O123" s="2" t="s">
        <v>29</v>
      </c>
      <c r="P123" s="2" t="s">
        <v>869</v>
      </c>
    </row>
    <row r="124" customFormat="false" ht="68.65" hidden="false" customHeight="false" outlineLevel="0" collapsed="false">
      <c r="A124" s="2" t="s">
        <v>683</v>
      </c>
      <c r="B124" s="2" t="s">
        <v>17</v>
      </c>
      <c r="C124" s="2" t="s">
        <v>870</v>
      </c>
      <c r="D124" s="2" t="s">
        <v>193</v>
      </c>
      <c r="E124" s="2" t="s">
        <v>20</v>
      </c>
      <c r="F124" s="2" t="s">
        <v>871</v>
      </c>
      <c r="G124" s="2" t="s">
        <v>872</v>
      </c>
      <c r="H124" s="2" t="s">
        <v>832</v>
      </c>
      <c r="I124" s="2" t="s">
        <v>873</v>
      </c>
      <c r="J124" s="2" t="s">
        <v>44</v>
      </c>
      <c r="K124" s="2"/>
      <c r="L124" s="2" t="s">
        <v>874</v>
      </c>
      <c r="M124" s="2" t="s">
        <v>243</v>
      </c>
      <c r="N124" s="2" t="s">
        <v>875</v>
      </c>
      <c r="O124" s="2" t="s">
        <v>29</v>
      </c>
      <c r="P124" s="2" t="s">
        <v>876</v>
      </c>
    </row>
    <row r="125" customFormat="false" ht="102.2" hidden="false" customHeight="false" outlineLevel="0" collapsed="false">
      <c r="A125" s="2" t="s">
        <v>683</v>
      </c>
      <c r="B125" s="2" t="s">
        <v>17</v>
      </c>
      <c r="C125" s="2" t="s">
        <v>877</v>
      </c>
      <c r="D125" s="2" t="s">
        <v>193</v>
      </c>
      <c r="E125" s="2" t="s">
        <v>20</v>
      </c>
      <c r="F125" s="2" t="s">
        <v>878</v>
      </c>
      <c r="G125" s="2" t="s">
        <v>879</v>
      </c>
      <c r="H125" s="2" t="s">
        <v>858</v>
      </c>
      <c r="I125" s="2" t="s">
        <v>226</v>
      </c>
      <c r="J125" s="2" t="s">
        <v>584</v>
      </c>
      <c r="K125" s="2"/>
      <c r="L125" s="2" t="s">
        <v>880</v>
      </c>
      <c r="M125" s="2" t="s">
        <v>243</v>
      </c>
      <c r="N125" s="2" t="s">
        <v>881</v>
      </c>
      <c r="O125" s="2" t="s">
        <v>29</v>
      </c>
      <c r="P125" s="2" t="s">
        <v>882</v>
      </c>
    </row>
    <row r="126" customFormat="false" ht="91" hidden="false" customHeight="false" outlineLevel="0" collapsed="false">
      <c r="A126" s="2" t="s">
        <v>683</v>
      </c>
      <c r="B126" s="2" t="s">
        <v>17</v>
      </c>
      <c r="C126" s="2" t="s">
        <v>883</v>
      </c>
      <c r="D126" s="2" t="s">
        <v>193</v>
      </c>
      <c r="E126" s="2" t="s">
        <v>20</v>
      </c>
      <c r="F126" s="2" t="s">
        <v>884</v>
      </c>
      <c r="G126" s="2" t="s">
        <v>885</v>
      </c>
      <c r="H126" s="2" t="s">
        <v>886</v>
      </c>
      <c r="I126" s="2" t="s">
        <v>887</v>
      </c>
      <c r="J126" s="2" t="s">
        <v>888</v>
      </c>
      <c r="K126" s="2"/>
      <c r="L126" s="2" t="s">
        <v>889</v>
      </c>
      <c r="M126" s="2" t="s">
        <v>27</v>
      </c>
      <c r="N126" s="2" t="s">
        <v>890</v>
      </c>
      <c r="O126" s="2" t="s">
        <v>29</v>
      </c>
      <c r="P126" s="2" t="s">
        <v>891</v>
      </c>
    </row>
    <row r="127" customFormat="false" ht="68.65" hidden="false" customHeight="false" outlineLevel="0" collapsed="false">
      <c r="A127" s="2" t="s">
        <v>683</v>
      </c>
      <c r="B127" s="2" t="s">
        <v>65</v>
      </c>
      <c r="C127" s="2" t="s">
        <v>892</v>
      </c>
      <c r="D127" s="2" t="s">
        <v>247</v>
      </c>
      <c r="E127" s="2" t="s">
        <v>67</v>
      </c>
      <c r="F127" s="2" t="s">
        <v>893</v>
      </c>
      <c r="G127" s="2" t="s">
        <v>894</v>
      </c>
      <c r="H127" s="2" t="s">
        <v>258</v>
      </c>
      <c r="I127" s="2" t="s">
        <v>895</v>
      </c>
      <c r="J127" s="2" t="s">
        <v>25</v>
      </c>
      <c r="K127" s="2"/>
      <c r="L127" s="2" t="s">
        <v>273</v>
      </c>
      <c r="M127" s="2" t="s">
        <v>46</v>
      </c>
      <c r="N127" s="2" t="s">
        <v>896</v>
      </c>
      <c r="O127" s="2" t="s">
        <v>29</v>
      </c>
      <c r="P127" s="2" t="s">
        <v>897</v>
      </c>
    </row>
    <row r="128" customFormat="false" ht="191.75" hidden="false" customHeight="false" outlineLevel="0" collapsed="false">
      <c r="A128" s="2" t="s">
        <v>683</v>
      </c>
      <c r="B128" s="2" t="s">
        <v>17</v>
      </c>
      <c r="C128" s="2" t="s">
        <v>898</v>
      </c>
      <c r="D128" s="2" t="s">
        <v>247</v>
      </c>
      <c r="E128" s="2" t="s">
        <v>67</v>
      </c>
      <c r="F128" s="2" t="s">
        <v>899</v>
      </c>
      <c r="G128" s="2" t="s">
        <v>900</v>
      </c>
      <c r="H128" s="2" t="s">
        <v>901</v>
      </c>
      <c r="I128" s="2" t="s">
        <v>345</v>
      </c>
      <c r="J128" s="2" t="s">
        <v>44</v>
      </c>
      <c r="K128" s="2"/>
      <c r="L128" s="2" t="s">
        <v>902</v>
      </c>
      <c r="M128" s="2" t="s">
        <v>46</v>
      </c>
      <c r="N128" s="2" t="s">
        <v>903</v>
      </c>
      <c r="O128" s="2" t="s">
        <v>29</v>
      </c>
      <c r="P128" s="2" t="s">
        <v>904</v>
      </c>
    </row>
    <row r="129" customFormat="false" ht="91" hidden="false" customHeight="false" outlineLevel="0" collapsed="false">
      <c r="A129" s="2" t="s">
        <v>683</v>
      </c>
      <c r="B129" s="2" t="s">
        <v>17</v>
      </c>
      <c r="C129" s="2" t="s">
        <v>905</v>
      </c>
      <c r="D129" s="2" t="s">
        <v>247</v>
      </c>
      <c r="E129" s="2" t="s">
        <v>67</v>
      </c>
      <c r="F129" s="2" t="s">
        <v>906</v>
      </c>
      <c r="G129" s="2" t="s">
        <v>907</v>
      </c>
      <c r="H129" s="2" t="s">
        <v>901</v>
      </c>
      <c r="I129" s="2" t="s">
        <v>908</v>
      </c>
      <c r="J129" s="2" t="s">
        <v>44</v>
      </c>
      <c r="K129" s="2"/>
      <c r="L129" s="2" t="s">
        <v>909</v>
      </c>
      <c r="M129" s="2" t="s">
        <v>160</v>
      </c>
      <c r="N129" s="2" t="s">
        <v>910</v>
      </c>
      <c r="O129" s="2" t="s">
        <v>29</v>
      </c>
      <c r="P129" s="2" t="s">
        <v>911</v>
      </c>
    </row>
    <row r="130" customFormat="false" ht="57.45" hidden="false" customHeight="false" outlineLevel="0" collapsed="false">
      <c r="A130" s="2" t="s">
        <v>683</v>
      </c>
      <c r="B130" s="2" t="s">
        <v>288</v>
      </c>
      <c r="C130" s="2" t="s">
        <v>912</v>
      </c>
      <c r="D130" s="2" t="s">
        <v>247</v>
      </c>
      <c r="E130" s="2" t="s">
        <v>20</v>
      </c>
      <c r="F130" s="2" t="s">
        <v>913</v>
      </c>
      <c r="G130" s="2" t="s">
        <v>914</v>
      </c>
      <c r="H130" s="2" t="s">
        <v>258</v>
      </c>
      <c r="I130" s="2" t="s">
        <v>24</v>
      </c>
      <c r="J130" s="2" t="s">
        <v>25</v>
      </c>
      <c r="K130" s="2"/>
      <c r="L130" s="2" t="s">
        <v>915</v>
      </c>
      <c r="M130" s="2" t="s">
        <v>46</v>
      </c>
      <c r="N130" s="2" t="s">
        <v>916</v>
      </c>
      <c r="O130" s="2" t="s">
        <v>29</v>
      </c>
      <c r="P130" s="2" t="s">
        <v>917</v>
      </c>
    </row>
    <row r="131" customFormat="false" ht="46.25" hidden="false" customHeight="false" outlineLevel="0" collapsed="false">
      <c r="A131" s="2" t="s">
        <v>683</v>
      </c>
      <c r="B131" s="2" t="s">
        <v>17</v>
      </c>
      <c r="C131" s="2" t="s">
        <v>918</v>
      </c>
      <c r="D131" s="2" t="s">
        <v>247</v>
      </c>
      <c r="E131" s="2" t="s">
        <v>67</v>
      </c>
      <c r="F131" s="2" t="s">
        <v>919</v>
      </c>
      <c r="G131" s="2" t="s">
        <v>920</v>
      </c>
      <c r="H131" s="2" t="s">
        <v>921</v>
      </c>
      <c r="I131" s="2" t="s">
        <v>922</v>
      </c>
      <c r="J131" s="2" t="s">
        <v>25</v>
      </c>
      <c r="K131" s="2"/>
      <c r="L131" s="2" t="s">
        <v>923</v>
      </c>
      <c r="M131" s="2" t="s">
        <v>27</v>
      </c>
      <c r="N131" s="2" t="s">
        <v>924</v>
      </c>
      <c r="O131" s="2" t="s">
        <v>29</v>
      </c>
      <c r="P131" s="2" t="s">
        <v>925</v>
      </c>
    </row>
    <row r="132" customFormat="false" ht="57.45" hidden="false" customHeight="false" outlineLevel="0" collapsed="false">
      <c r="A132" s="2" t="s">
        <v>683</v>
      </c>
      <c r="B132" s="2" t="s">
        <v>17</v>
      </c>
      <c r="C132" s="2" t="s">
        <v>926</v>
      </c>
      <c r="D132" s="2" t="s">
        <v>247</v>
      </c>
      <c r="E132" s="2" t="s">
        <v>140</v>
      </c>
      <c r="F132" s="2" t="s">
        <v>927</v>
      </c>
      <c r="G132" s="2" t="s">
        <v>928</v>
      </c>
      <c r="H132" s="2" t="s">
        <v>921</v>
      </c>
      <c r="I132" s="2" t="s">
        <v>929</v>
      </c>
      <c r="J132" s="2" t="s">
        <v>25</v>
      </c>
      <c r="K132" s="2" t="s">
        <v>930</v>
      </c>
      <c r="L132" s="2" t="s">
        <v>931</v>
      </c>
      <c r="M132" s="2" t="s">
        <v>27</v>
      </c>
      <c r="N132" s="2" t="s">
        <v>932</v>
      </c>
      <c r="O132" s="2" t="s">
        <v>29</v>
      </c>
      <c r="P132" s="2" t="s">
        <v>933</v>
      </c>
    </row>
    <row r="133" customFormat="false" ht="57.45" hidden="false" customHeight="false" outlineLevel="0" collapsed="false">
      <c r="A133" s="2" t="s">
        <v>683</v>
      </c>
      <c r="B133" s="2" t="s">
        <v>31</v>
      </c>
      <c r="C133" s="2" t="s">
        <v>934</v>
      </c>
      <c r="D133" s="2" t="s">
        <v>247</v>
      </c>
      <c r="E133" s="2" t="s">
        <v>20</v>
      </c>
      <c r="F133" s="2" t="s">
        <v>935</v>
      </c>
      <c r="G133" s="2" t="s">
        <v>936</v>
      </c>
      <c r="H133" s="2" t="s">
        <v>937</v>
      </c>
      <c r="I133" s="2" t="s">
        <v>938</v>
      </c>
      <c r="J133" s="2" t="s">
        <v>25</v>
      </c>
      <c r="K133" s="2"/>
      <c r="L133" s="2" t="s">
        <v>727</v>
      </c>
      <c r="M133" s="2" t="s">
        <v>46</v>
      </c>
      <c r="N133" s="2" t="s">
        <v>939</v>
      </c>
      <c r="O133" s="2" t="s">
        <v>29</v>
      </c>
      <c r="P133" s="2" t="s">
        <v>940</v>
      </c>
    </row>
    <row r="134" customFormat="false" ht="46.25" hidden="false" customHeight="false" outlineLevel="0" collapsed="false">
      <c r="A134" s="2" t="s">
        <v>683</v>
      </c>
      <c r="B134" s="2" t="s">
        <v>17</v>
      </c>
      <c r="C134" s="2" t="s">
        <v>941</v>
      </c>
      <c r="D134" s="2" t="s">
        <v>247</v>
      </c>
      <c r="E134" s="2" t="s">
        <v>67</v>
      </c>
      <c r="F134" s="2" t="s">
        <v>942</v>
      </c>
      <c r="G134" s="2" t="s">
        <v>943</v>
      </c>
      <c r="H134" s="2" t="s">
        <v>921</v>
      </c>
      <c r="I134" s="2" t="s">
        <v>944</v>
      </c>
      <c r="J134" s="2" t="s">
        <v>25</v>
      </c>
      <c r="K134" s="2"/>
      <c r="L134" s="2" t="s">
        <v>923</v>
      </c>
      <c r="M134" s="2" t="s">
        <v>27</v>
      </c>
      <c r="N134" s="2" t="s">
        <v>945</v>
      </c>
      <c r="O134" s="2" t="s">
        <v>29</v>
      </c>
      <c r="P134" s="2" t="s">
        <v>946</v>
      </c>
    </row>
    <row r="135" customFormat="false" ht="68.65" hidden="false" customHeight="false" outlineLevel="0" collapsed="false">
      <c r="A135" s="2" t="s">
        <v>683</v>
      </c>
      <c r="B135" s="2" t="s">
        <v>17</v>
      </c>
      <c r="C135" s="2" t="s">
        <v>947</v>
      </c>
      <c r="D135" s="2" t="s">
        <v>247</v>
      </c>
      <c r="E135" s="2" t="s">
        <v>67</v>
      </c>
      <c r="F135" s="2" t="s">
        <v>948</v>
      </c>
      <c r="G135" s="2" t="s">
        <v>949</v>
      </c>
      <c r="H135" s="2" t="s">
        <v>950</v>
      </c>
      <c r="I135" s="2" t="s">
        <v>226</v>
      </c>
      <c r="J135" s="2" t="s">
        <v>44</v>
      </c>
      <c r="K135" s="2"/>
      <c r="L135" s="2" t="s">
        <v>951</v>
      </c>
      <c r="M135" s="2" t="s">
        <v>243</v>
      </c>
      <c r="N135" s="2" t="s">
        <v>952</v>
      </c>
      <c r="O135" s="2" t="s">
        <v>29</v>
      </c>
      <c r="P135" s="2" t="s">
        <v>953</v>
      </c>
    </row>
    <row r="136" customFormat="false" ht="68.65" hidden="false" customHeight="false" outlineLevel="0" collapsed="false">
      <c r="A136" s="2" t="s">
        <v>683</v>
      </c>
      <c r="B136" s="2" t="s">
        <v>288</v>
      </c>
      <c r="C136" s="2" t="s">
        <v>954</v>
      </c>
      <c r="D136" s="2" t="s">
        <v>320</v>
      </c>
      <c r="E136" s="2" t="s">
        <v>140</v>
      </c>
      <c r="F136" s="2" t="s">
        <v>955</v>
      </c>
      <c r="G136" s="2" t="s">
        <v>956</v>
      </c>
      <c r="H136" s="2" t="s">
        <v>258</v>
      </c>
      <c r="I136" s="2" t="s">
        <v>957</v>
      </c>
      <c r="J136" s="2" t="s">
        <v>25</v>
      </c>
      <c r="K136" s="2"/>
      <c r="L136" s="2" t="s">
        <v>915</v>
      </c>
      <c r="M136" s="2" t="s">
        <v>46</v>
      </c>
      <c r="N136" s="2" t="s">
        <v>958</v>
      </c>
      <c r="O136" s="2" t="s">
        <v>29</v>
      </c>
      <c r="P136" s="2" t="s">
        <v>959</v>
      </c>
    </row>
    <row r="137" customFormat="false" ht="57.45" hidden="false" customHeight="false" outlineLevel="0" collapsed="false">
      <c r="A137" s="2" t="s">
        <v>683</v>
      </c>
      <c r="B137" s="2" t="s">
        <v>31</v>
      </c>
      <c r="C137" s="2" t="s">
        <v>960</v>
      </c>
      <c r="D137" s="2" t="s">
        <v>320</v>
      </c>
      <c r="E137" s="2" t="s">
        <v>20</v>
      </c>
      <c r="F137" s="2" t="s">
        <v>961</v>
      </c>
      <c r="G137" s="2" t="s">
        <v>962</v>
      </c>
      <c r="H137" s="2" t="s">
        <v>258</v>
      </c>
      <c r="I137" s="2" t="s">
        <v>963</v>
      </c>
      <c r="J137" s="2" t="s">
        <v>44</v>
      </c>
      <c r="K137" s="2"/>
      <c r="L137" s="2" t="s">
        <v>753</v>
      </c>
      <c r="M137" s="2" t="s">
        <v>160</v>
      </c>
      <c r="N137" s="2" t="s">
        <v>964</v>
      </c>
      <c r="O137" s="2" t="s">
        <v>29</v>
      </c>
      <c r="P137" s="2" t="s">
        <v>965</v>
      </c>
    </row>
    <row r="138" customFormat="false" ht="57.45" hidden="false" customHeight="false" outlineLevel="0" collapsed="false">
      <c r="A138" s="2" t="s">
        <v>683</v>
      </c>
      <c r="B138" s="2" t="s">
        <v>31</v>
      </c>
      <c r="C138" s="2" t="s">
        <v>966</v>
      </c>
      <c r="D138" s="2" t="s">
        <v>320</v>
      </c>
      <c r="E138" s="2" t="s">
        <v>20</v>
      </c>
      <c r="F138" s="2" t="s">
        <v>967</v>
      </c>
      <c r="G138" s="2" t="s">
        <v>968</v>
      </c>
      <c r="H138" s="2" t="s">
        <v>258</v>
      </c>
      <c r="I138" s="2" t="s">
        <v>969</v>
      </c>
      <c r="J138" s="2" t="s">
        <v>25</v>
      </c>
      <c r="K138" s="2"/>
      <c r="L138" s="2" t="s">
        <v>970</v>
      </c>
      <c r="M138" s="2" t="s">
        <v>160</v>
      </c>
      <c r="N138" s="2" t="s">
        <v>971</v>
      </c>
      <c r="O138" s="2" t="s">
        <v>29</v>
      </c>
      <c r="P138" s="2" t="s">
        <v>972</v>
      </c>
    </row>
    <row r="139" customFormat="false" ht="91" hidden="false" customHeight="false" outlineLevel="0" collapsed="false">
      <c r="A139" s="2" t="s">
        <v>683</v>
      </c>
      <c r="B139" s="2" t="s">
        <v>17</v>
      </c>
      <c r="C139" s="2" t="s">
        <v>349</v>
      </c>
      <c r="D139" s="2" t="s">
        <v>320</v>
      </c>
      <c r="E139" s="2" t="s">
        <v>20</v>
      </c>
      <c r="F139" s="2" t="s">
        <v>973</v>
      </c>
      <c r="G139" s="2" t="s">
        <v>974</v>
      </c>
      <c r="H139" s="2" t="s">
        <v>975</v>
      </c>
      <c r="I139" s="2" t="s">
        <v>976</v>
      </c>
      <c r="J139" s="2" t="s">
        <v>118</v>
      </c>
      <c r="K139" s="2"/>
      <c r="L139" s="2" t="s">
        <v>977</v>
      </c>
      <c r="M139" s="2" t="s">
        <v>160</v>
      </c>
      <c r="N139" s="2" t="s">
        <v>978</v>
      </c>
      <c r="O139" s="2" t="s">
        <v>29</v>
      </c>
      <c r="P139" s="2" t="s">
        <v>979</v>
      </c>
    </row>
    <row r="140" customFormat="false" ht="102.2" hidden="false" customHeight="false" outlineLevel="0" collapsed="false">
      <c r="A140" s="2" t="s">
        <v>683</v>
      </c>
      <c r="B140" s="2" t="s">
        <v>17</v>
      </c>
      <c r="C140" s="2" t="s">
        <v>980</v>
      </c>
      <c r="D140" s="2" t="s">
        <v>320</v>
      </c>
      <c r="E140" s="2" t="s">
        <v>20</v>
      </c>
      <c r="F140" s="2" t="s">
        <v>981</v>
      </c>
      <c r="G140" s="2" t="s">
        <v>982</v>
      </c>
      <c r="H140" s="2" t="s">
        <v>983</v>
      </c>
      <c r="I140" s="2" t="s">
        <v>984</v>
      </c>
      <c r="J140" s="2" t="s">
        <v>44</v>
      </c>
      <c r="K140" s="2"/>
      <c r="L140" s="2" t="s">
        <v>985</v>
      </c>
      <c r="M140" s="2" t="s">
        <v>160</v>
      </c>
      <c r="N140" s="2" t="s">
        <v>986</v>
      </c>
      <c r="O140" s="2" t="s">
        <v>29</v>
      </c>
      <c r="P140" s="2" t="s">
        <v>987</v>
      </c>
    </row>
    <row r="141" customFormat="false" ht="57.45" hidden="false" customHeight="false" outlineLevel="0" collapsed="false">
      <c r="A141" s="2" t="s">
        <v>683</v>
      </c>
      <c r="B141" s="2" t="s">
        <v>288</v>
      </c>
      <c r="C141" s="2" t="s">
        <v>988</v>
      </c>
      <c r="D141" s="2" t="s">
        <v>320</v>
      </c>
      <c r="E141" s="2" t="s">
        <v>140</v>
      </c>
      <c r="F141" s="2" t="s">
        <v>989</v>
      </c>
      <c r="G141" s="2" t="s">
        <v>990</v>
      </c>
      <c r="H141" s="2" t="s">
        <v>258</v>
      </c>
      <c r="I141" s="2" t="s">
        <v>991</v>
      </c>
      <c r="J141" s="2" t="s">
        <v>25</v>
      </c>
      <c r="K141" s="2"/>
      <c r="L141" s="2" t="s">
        <v>915</v>
      </c>
      <c r="M141" s="2" t="s">
        <v>46</v>
      </c>
      <c r="N141" s="2" t="s">
        <v>992</v>
      </c>
      <c r="O141" s="2" t="s">
        <v>29</v>
      </c>
      <c r="P141" s="2" t="s">
        <v>993</v>
      </c>
    </row>
    <row r="142" customFormat="false" ht="57.45" hidden="false" customHeight="false" outlineLevel="0" collapsed="false">
      <c r="A142" s="2" t="s">
        <v>683</v>
      </c>
      <c r="B142" s="2" t="s">
        <v>17</v>
      </c>
      <c r="C142" s="2" t="s">
        <v>994</v>
      </c>
      <c r="D142" s="2" t="s">
        <v>320</v>
      </c>
      <c r="E142" s="2" t="s">
        <v>67</v>
      </c>
      <c r="F142" s="2" t="s">
        <v>995</v>
      </c>
      <c r="G142" s="2" t="s">
        <v>996</v>
      </c>
      <c r="H142" s="2" t="s">
        <v>258</v>
      </c>
      <c r="I142" s="2" t="s">
        <v>997</v>
      </c>
      <c r="J142" s="2" t="s">
        <v>25</v>
      </c>
      <c r="K142" s="2"/>
      <c r="L142" s="2" t="s">
        <v>998</v>
      </c>
      <c r="M142" s="2" t="s">
        <v>46</v>
      </c>
      <c r="N142" s="2" t="s">
        <v>999</v>
      </c>
      <c r="O142" s="2" t="s">
        <v>29</v>
      </c>
      <c r="P142" s="2" t="s">
        <v>1000</v>
      </c>
    </row>
    <row r="143" customFormat="false" ht="180.55" hidden="false" customHeight="false" outlineLevel="0" collapsed="false">
      <c r="A143" s="2" t="s">
        <v>683</v>
      </c>
      <c r="B143" s="2" t="s">
        <v>17</v>
      </c>
      <c r="C143" s="2" t="s">
        <v>1001</v>
      </c>
      <c r="D143" s="2" t="s">
        <v>320</v>
      </c>
      <c r="E143" s="2" t="s">
        <v>20</v>
      </c>
      <c r="F143" s="2" t="s">
        <v>1002</v>
      </c>
      <c r="G143" s="2" t="s">
        <v>1003</v>
      </c>
      <c r="H143" s="2" t="s">
        <v>1004</v>
      </c>
      <c r="I143" s="2" t="s">
        <v>226</v>
      </c>
      <c r="J143" s="2" t="s">
        <v>44</v>
      </c>
      <c r="K143" s="2"/>
      <c r="L143" s="2" t="s">
        <v>1005</v>
      </c>
      <c r="M143" s="2" t="s">
        <v>243</v>
      </c>
      <c r="N143" s="2" t="s">
        <v>1006</v>
      </c>
      <c r="O143" s="2" t="s">
        <v>29</v>
      </c>
      <c r="P143" s="2" t="s">
        <v>1007</v>
      </c>
    </row>
    <row r="144" customFormat="false" ht="79.85" hidden="false" customHeight="false" outlineLevel="0" collapsed="false">
      <c r="A144" s="2" t="s">
        <v>683</v>
      </c>
      <c r="B144" s="2" t="s">
        <v>17</v>
      </c>
      <c r="C144" s="2" t="s">
        <v>1008</v>
      </c>
      <c r="D144" s="2" t="s">
        <v>320</v>
      </c>
      <c r="E144" s="2" t="s">
        <v>20</v>
      </c>
      <c r="F144" s="2" t="s">
        <v>1009</v>
      </c>
      <c r="G144" s="2" t="s">
        <v>1010</v>
      </c>
      <c r="H144" s="2" t="s">
        <v>1011</v>
      </c>
      <c r="I144" s="2" t="s">
        <v>345</v>
      </c>
      <c r="J144" s="2" t="s">
        <v>44</v>
      </c>
      <c r="K144" s="2"/>
      <c r="L144" s="2" t="s">
        <v>1012</v>
      </c>
      <c r="M144" s="2" t="s">
        <v>160</v>
      </c>
      <c r="N144" s="2" t="s">
        <v>1013</v>
      </c>
      <c r="O144" s="2" t="s">
        <v>29</v>
      </c>
      <c r="P144" s="2" t="s">
        <v>341</v>
      </c>
    </row>
    <row r="145" customFormat="false" ht="113.4" hidden="false" customHeight="false" outlineLevel="0" collapsed="false">
      <c r="A145" s="2" t="s">
        <v>683</v>
      </c>
      <c r="B145" s="2" t="s">
        <v>17</v>
      </c>
      <c r="C145" s="2" t="s">
        <v>1014</v>
      </c>
      <c r="D145" s="2" t="s">
        <v>320</v>
      </c>
      <c r="E145" s="2" t="s">
        <v>20</v>
      </c>
      <c r="F145" s="2" t="s">
        <v>1015</v>
      </c>
      <c r="G145" s="2" t="s">
        <v>1016</v>
      </c>
      <c r="H145" s="2" t="s">
        <v>1017</v>
      </c>
      <c r="I145" s="2" t="s">
        <v>460</v>
      </c>
      <c r="J145" s="2" t="s">
        <v>44</v>
      </c>
      <c r="K145" s="2"/>
      <c r="L145" s="2" t="s">
        <v>1018</v>
      </c>
      <c r="M145" s="2" t="s">
        <v>27</v>
      </c>
      <c r="N145" s="2" t="s">
        <v>1019</v>
      </c>
      <c r="O145" s="2" t="s">
        <v>29</v>
      </c>
      <c r="P145" s="2" t="s">
        <v>1020</v>
      </c>
    </row>
    <row r="146" customFormat="false" ht="79.85" hidden="false" customHeight="false" outlineLevel="0" collapsed="false">
      <c r="A146" s="2" t="s">
        <v>683</v>
      </c>
      <c r="B146" s="2" t="s">
        <v>17</v>
      </c>
      <c r="C146" s="2" t="s">
        <v>1021</v>
      </c>
      <c r="D146" s="2" t="s">
        <v>320</v>
      </c>
      <c r="E146" s="2" t="s">
        <v>20</v>
      </c>
      <c r="F146" s="2" t="s">
        <v>1022</v>
      </c>
      <c r="G146" s="2" t="s">
        <v>1023</v>
      </c>
      <c r="H146" s="2" t="s">
        <v>1024</v>
      </c>
      <c r="I146" s="2" t="s">
        <v>36</v>
      </c>
      <c r="J146" s="2" t="s">
        <v>840</v>
      </c>
      <c r="K146" s="2"/>
      <c r="L146" s="2" t="s">
        <v>1025</v>
      </c>
      <c r="M146" s="2" t="s">
        <v>160</v>
      </c>
      <c r="N146" s="2" t="s">
        <v>1026</v>
      </c>
      <c r="O146" s="2" t="s">
        <v>29</v>
      </c>
      <c r="P146" s="2" t="s">
        <v>341</v>
      </c>
    </row>
    <row r="147" customFormat="false" ht="46.25" hidden="false" customHeight="false" outlineLevel="0" collapsed="false">
      <c r="A147" s="2" t="s">
        <v>683</v>
      </c>
      <c r="B147" s="2" t="s">
        <v>17</v>
      </c>
      <c r="C147" s="2" t="s">
        <v>349</v>
      </c>
      <c r="D147" s="2" t="s">
        <v>320</v>
      </c>
      <c r="E147" s="2" t="s">
        <v>20</v>
      </c>
      <c r="F147" s="2" t="s">
        <v>1027</v>
      </c>
      <c r="G147" s="2" t="s">
        <v>1028</v>
      </c>
      <c r="H147" s="2" t="s">
        <v>1029</v>
      </c>
      <c r="I147" s="2" t="s">
        <v>405</v>
      </c>
      <c r="J147" s="2" t="s">
        <v>840</v>
      </c>
      <c r="K147" s="2"/>
      <c r="L147" s="2" t="s">
        <v>977</v>
      </c>
      <c r="M147" s="2" t="s">
        <v>160</v>
      </c>
      <c r="N147" s="2" t="s">
        <v>1030</v>
      </c>
      <c r="O147" s="2" t="s">
        <v>29</v>
      </c>
      <c r="P147" s="2" t="s">
        <v>1031</v>
      </c>
    </row>
    <row r="148" customFormat="false" ht="79.85" hidden="false" customHeight="false" outlineLevel="0" collapsed="false">
      <c r="A148" s="2" t="s">
        <v>683</v>
      </c>
      <c r="B148" s="2" t="s">
        <v>17</v>
      </c>
      <c r="C148" s="2" t="s">
        <v>1032</v>
      </c>
      <c r="D148" s="2" t="s">
        <v>320</v>
      </c>
      <c r="E148" s="2" t="s">
        <v>20</v>
      </c>
      <c r="F148" s="2" t="s">
        <v>1033</v>
      </c>
      <c r="G148" s="2" t="s">
        <v>1034</v>
      </c>
      <c r="H148" s="2" t="s">
        <v>1035</v>
      </c>
      <c r="I148" s="2" t="s">
        <v>1036</v>
      </c>
      <c r="J148" s="2" t="s">
        <v>44</v>
      </c>
      <c r="K148" s="2"/>
      <c r="L148" s="2" t="s">
        <v>1037</v>
      </c>
      <c r="M148" s="2" t="s">
        <v>27</v>
      </c>
      <c r="N148" s="2" t="s">
        <v>1038</v>
      </c>
      <c r="O148" s="2" t="s">
        <v>29</v>
      </c>
      <c r="P148" s="2" t="s">
        <v>1039</v>
      </c>
    </row>
    <row r="149" customFormat="false" ht="68.65" hidden="false" customHeight="false" outlineLevel="0" collapsed="false">
      <c r="A149" s="2" t="s">
        <v>683</v>
      </c>
      <c r="B149" s="2" t="s">
        <v>169</v>
      </c>
      <c r="C149" s="2" t="s">
        <v>1040</v>
      </c>
      <c r="D149" s="2" t="s">
        <v>320</v>
      </c>
      <c r="E149" s="2" t="s">
        <v>20</v>
      </c>
      <c r="F149" s="2" t="s">
        <v>1041</v>
      </c>
      <c r="G149" s="2" t="s">
        <v>1042</v>
      </c>
      <c r="H149" s="2" t="s">
        <v>1035</v>
      </c>
      <c r="I149" s="2" t="s">
        <v>1043</v>
      </c>
      <c r="J149" s="2" t="s">
        <v>44</v>
      </c>
      <c r="K149" s="2"/>
      <c r="L149" s="2" t="s">
        <v>1044</v>
      </c>
      <c r="M149" s="2" t="s">
        <v>27</v>
      </c>
      <c r="N149" s="2" t="s">
        <v>1045</v>
      </c>
      <c r="O149" s="2" t="s">
        <v>29</v>
      </c>
      <c r="P149" s="2" t="s">
        <v>1046</v>
      </c>
    </row>
    <row r="150" customFormat="false" ht="102.2" hidden="false" customHeight="false" outlineLevel="0" collapsed="false">
      <c r="A150" s="2" t="s">
        <v>683</v>
      </c>
      <c r="B150" s="2" t="s">
        <v>31</v>
      </c>
      <c r="C150" s="2" t="s">
        <v>1047</v>
      </c>
      <c r="D150" s="2" t="s">
        <v>320</v>
      </c>
      <c r="E150" s="2" t="s">
        <v>20</v>
      </c>
      <c r="F150" s="2" t="s">
        <v>1048</v>
      </c>
      <c r="G150" s="2" t="s">
        <v>1049</v>
      </c>
      <c r="H150" s="2" t="s">
        <v>1050</v>
      </c>
      <c r="I150" s="2" t="s">
        <v>226</v>
      </c>
      <c r="J150" s="2" t="s">
        <v>44</v>
      </c>
      <c r="K150" s="2"/>
      <c r="L150" s="2" t="s">
        <v>753</v>
      </c>
      <c r="M150" s="2" t="s">
        <v>160</v>
      </c>
      <c r="N150" s="2" t="s">
        <v>1051</v>
      </c>
      <c r="O150" s="2" t="s">
        <v>29</v>
      </c>
      <c r="P150" s="2" t="s">
        <v>1052</v>
      </c>
    </row>
    <row r="151" customFormat="false" ht="91" hidden="false" customHeight="false" outlineLevel="0" collapsed="false">
      <c r="A151" s="2" t="s">
        <v>683</v>
      </c>
      <c r="B151" s="2" t="s">
        <v>17</v>
      </c>
      <c r="C151" s="2" t="s">
        <v>349</v>
      </c>
      <c r="D151" s="2" t="s">
        <v>320</v>
      </c>
      <c r="E151" s="2" t="s">
        <v>20</v>
      </c>
      <c r="F151" s="2" t="s">
        <v>1053</v>
      </c>
      <c r="G151" s="2" t="s">
        <v>1054</v>
      </c>
      <c r="H151" s="2" t="s">
        <v>1055</v>
      </c>
      <c r="I151" s="2" t="s">
        <v>1056</v>
      </c>
      <c r="J151" s="2" t="s">
        <v>346</v>
      </c>
      <c r="K151" s="2"/>
      <c r="L151" s="2" t="s">
        <v>1057</v>
      </c>
      <c r="M151" s="2" t="s">
        <v>1058</v>
      </c>
      <c r="N151" s="2" t="s">
        <v>1059</v>
      </c>
      <c r="O151" s="2" t="s">
        <v>29</v>
      </c>
      <c r="P151" s="2" t="s">
        <v>1060</v>
      </c>
    </row>
    <row r="152" customFormat="false" ht="91" hidden="false" customHeight="false" outlineLevel="0" collapsed="false">
      <c r="A152" s="2" t="s">
        <v>683</v>
      </c>
      <c r="B152" s="2" t="s">
        <v>17</v>
      </c>
      <c r="C152" s="2" t="s">
        <v>1061</v>
      </c>
      <c r="D152" s="2" t="s">
        <v>320</v>
      </c>
      <c r="E152" s="2" t="s">
        <v>20</v>
      </c>
      <c r="F152" s="2" t="s">
        <v>1062</v>
      </c>
      <c r="G152" s="2" t="s">
        <v>1063</v>
      </c>
      <c r="H152" s="2" t="s">
        <v>1064</v>
      </c>
      <c r="I152" s="2" t="s">
        <v>36</v>
      </c>
      <c r="J152" s="2" t="s">
        <v>44</v>
      </c>
      <c r="K152" s="2"/>
      <c r="L152" s="2" t="s">
        <v>1065</v>
      </c>
      <c r="M152" s="2" t="s">
        <v>160</v>
      </c>
      <c r="N152" s="2" t="s">
        <v>1066</v>
      </c>
      <c r="O152" s="2" t="s">
        <v>29</v>
      </c>
      <c r="P152" s="2" t="s">
        <v>1067</v>
      </c>
    </row>
    <row r="153" customFormat="false" ht="57.45" hidden="false" customHeight="false" outlineLevel="0" collapsed="false">
      <c r="A153" s="2" t="s">
        <v>683</v>
      </c>
      <c r="B153" s="2" t="s">
        <v>31</v>
      </c>
      <c r="C153" s="2" t="s">
        <v>1068</v>
      </c>
      <c r="D153" s="2" t="s">
        <v>320</v>
      </c>
      <c r="E153" s="2" t="s">
        <v>20</v>
      </c>
      <c r="F153" s="2" t="s">
        <v>1069</v>
      </c>
      <c r="G153" s="2" t="s">
        <v>1070</v>
      </c>
      <c r="H153" s="2" t="s">
        <v>1071</v>
      </c>
      <c r="I153" s="2" t="s">
        <v>1072</v>
      </c>
      <c r="J153" s="2" t="s">
        <v>44</v>
      </c>
      <c r="K153" s="2"/>
      <c r="L153" s="2" t="s">
        <v>1073</v>
      </c>
      <c r="M153" s="2" t="s">
        <v>46</v>
      </c>
      <c r="N153" s="2" t="s">
        <v>1074</v>
      </c>
      <c r="O153" s="2" t="s">
        <v>29</v>
      </c>
      <c r="P153" s="2" t="s">
        <v>1075</v>
      </c>
    </row>
    <row r="154" customFormat="false" ht="46.25" hidden="false" customHeight="false" outlineLevel="0" collapsed="false">
      <c r="A154" s="2" t="s">
        <v>683</v>
      </c>
      <c r="B154" s="2" t="s">
        <v>254</v>
      </c>
      <c r="C154" s="2" t="s">
        <v>1076</v>
      </c>
      <c r="D154" s="2" t="s">
        <v>320</v>
      </c>
      <c r="E154" s="2" t="s">
        <v>140</v>
      </c>
      <c r="F154" s="2" t="s">
        <v>1077</v>
      </c>
      <c r="G154" s="2" t="s">
        <v>1078</v>
      </c>
      <c r="H154" s="2" t="s">
        <v>258</v>
      </c>
      <c r="I154" s="2" t="s">
        <v>1079</v>
      </c>
      <c r="J154" s="2" t="s">
        <v>25</v>
      </c>
      <c r="K154" s="2"/>
      <c r="L154" s="2" t="s">
        <v>789</v>
      </c>
      <c r="M154" s="2" t="s">
        <v>46</v>
      </c>
      <c r="N154" s="2" t="s">
        <v>1080</v>
      </c>
      <c r="O154" s="2" t="s">
        <v>29</v>
      </c>
      <c r="P154" s="2" t="s">
        <v>1081</v>
      </c>
    </row>
    <row r="155" customFormat="false" ht="68.65" hidden="false" customHeight="false" outlineLevel="0" collapsed="false">
      <c r="A155" s="2" t="s">
        <v>683</v>
      </c>
      <c r="B155" s="2" t="s">
        <v>31</v>
      </c>
      <c r="C155" s="2" t="s">
        <v>1082</v>
      </c>
      <c r="D155" s="2" t="s">
        <v>390</v>
      </c>
      <c r="E155" s="2" t="s">
        <v>20</v>
      </c>
      <c r="F155" s="2" t="s">
        <v>1083</v>
      </c>
      <c r="G155" s="2" t="s">
        <v>1084</v>
      </c>
      <c r="H155" s="2" t="s">
        <v>459</v>
      </c>
      <c r="I155" s="2" t="s">
        <v>1085</v>
      </c>
      <c r="J155" s="2" t="s">
        <v>25</v>
      </c>
      <c r="K155" s="2"/>
      <c r="L155" s="2" t="s">
        <v>867</v>
      </c>
      <c r="M155" s="2" t="s">
        <v>46</v>
      </c>
      <c r="N155" s="2" t="s">
        <v>1086</v>
      </c>
      <c r="O155" s="2" t="s">
        <v>29</v>
      </c>
      <c r="P155" s="2" t="s">
        <v>1087</v>
      </c>
    </row>
    <row r="156" customFormat="false" ht="124.6" hidden="false" customHeight="false" outlineLevel="0" collapsed="false">
      <c r="A156" s="2" t="s">
        <v>683</v>
      </c>
      <c r="B156" s="2" t="s">
        <v>31</v>
      </c>
      <c r="C156" s="2" t="s">
        <v>1088</v>
      </c>
      <c r="D156" s="2" t="s">
        <v>390</v>
      </c>
      <c r="E156" s="2" t="s">
        <v>67</v>
      </c>
      <c r="F156" s="2" t="s">
        <v>1089</v>
      </c>
      <c r="G156" s="2" t="s">
        <v>1090</v>
      </c>
      <c r="H156" s="2" t="s">
        <v>1091</v>
      </c>
      <c r="I156" s="2" t="s">
        <v>226</v>
      </c>
      <c r="J156" s="2" t="s">
        <v>44</v>
      </c>
      <c r="K156" s="2"/>
      <c r="L156" s="2" t="s">
        <v>1092</v>
      </c>
      <c r="M156" s="2" t="s">
        <v>27</v>
      </c>
      <c r="N156" s="2" t="s">
        <v>1093</v>
      </c>
      <c r="O156" s="2" t="s">
        <v>29</v>
      </c>
      <c r="P156" s="2" t="s">
        <v>1094</v>
      </c>
    </row>
    <row r="157" customFormat="false" ht="113.4" hidden="false" customHeight="false" outlineLevel="0" collapsed="false">
      <c r="A157" s="2" t="s">
        <v>683</v>
      </c>
      <c r="B157" s="2" t="s">
        <v>17</v>
      </c>
      <c r="C157" s="2" t="s">
        <v>1095</v>
      </c>
      <c r="D157" s="2" t="s">
        <v>390</v>
      </c>
      <c r="E157" s="2" t="s">
        <v>20</v>
      </c>
      <c r="F157" s="2" t="s">
        <v>1096</v>
      </c>
      <c r="G157" s="2" t="s">
        <v>1097</v>
      </c>
      <c r="H157" s="2" t="s">
        <v>1098</v>
      </c>
      <c r="I157" s="2" t="s">
        <v>738</v>
      </c>
      <c r="J157" s="2" t="s">
        <v>44</v>
      </c>
      <c r="K157" s="2"/>
      <c r="L157" s="2" t="s">
        <v>1099</v>
      </c>
      <c r="M157" s="2" t="s">
        <v>121</v>
      </c>
      <c r="N157" s="2" t="s">
        <v>1100</v>
      </c>
      <c r="O157" s="2" t="s">
        <v>29</v>
      </c>
      <c r="P157" s="2" t="s">
        <v>1101</v>
      </c>
    </row>
    <row r="158" customFormat="false" ht="91" hidden="false" customHeight="false" outlineLevel="0" collapsed="false">
      <c r="A158" s="2" t="s">
        <v>683</v>
      </c>
      <c r="B158" s="2" t="s">
        <v>169</v>
      </c>
      <c r="C158" s="2" t="s">
        <v>1102</v>
      </c>
      <c r="D158" s="2" t="s">
        <v>390</v>
      </c>
      <c r="E158" s="2" t="s">
        <v>20</v>
      </c>
      <c r="F158" s="2" t="s">
        <v>1103</v>
      </c>
      <c r="G158" s="2" t="s">
        <v>1104</v>
      </c>
      <c r="H158" s="2" t="s">
        <v>1105</v>
      </c>
      <c r="I158" s="2" t="s">
        <v>1106</v>
      </c>
      <c r="J158" s="2" t="s">
        <v>44</v>
      </c>
      <c r="K158" s="2"/>
      <c r="L158" s="2" t="s">
        <v>1107</v>
      </c>
      <c r="M158" s="2" t="s">
        <v>121</v>
      </c>
      <c r="N158" s="2" t="s">
        <v>1108</v>
      </c>
      <c r="O158" s="2" t="s">
        <v>29</v>
      </c>
      <c r="P158" s="2" t="s">
        <v>1109</v>
      </c>
    </row>
    <row r="159" customFormat="false" ht="135.8" hidden="false" customHeight="false" outlineLevel="0" collapsed="false">
      <c r="A159" s="2" t="s">
        <v>683</v>
      </c>
      <c r="B159" s="2" t="s">
        <v>31</v>
      </c>
      <c r="C159" s="2" t="s">
        <v>1110</v>
      </c>
      <c r="D159" s="2" t="s">
        <v>390</v>
      </c>
      <c r="E159" s="2" t="s">
        <v>20</v>
      </c>
      <c r="F159" s="2" t="s">
        <v>1111</v>
      </c>
      <c r="G159" s="2" t="s">
        <v>1112</v>
      </c>
      <c r="H159" s="2" t="s">
        <v>1113</v>
      </c>
      <c r="I159" s="2" t="s">
        <v>226</v>
      </c>
      <c r="J159" s="2" t="s">
        <v>44</v>
      </c>
      <c r="K159" s="2"/>
      <c r="L159" s="2" t="s">
        <v>1114</v>
      </c>
      <c r="M159" s="2" t="s">
        <v>27</v>
      </c>
      <c r="N159" s="2" t="s">
        <v>1115</v>
      </c>
      <c r="O159" s="2" t="s">
        <v>29</v>
      </c>
      <c r="P159" s="2" t="s">
        <v>1116</v>
      </c>
    </row>
    <row r="160" customFormat="false" ht="102.2" hidden="false" customHeight="false" outlineLevel="0" collapsed="false">
      <c r="A160" s="2" t="s">
        <v>683</v>
      </c>
      <c r="B160" s="2" t="s">
        <v>31</v>
      </c>
      <c r="C160" s="2" t="s">
        <v>1117</v>
      </c>
      <c r="D160" s="2" t="s">
        <v>390</v>
      </c>
      <c r="E160" s="2" t="s">
        <v>67</v>
      </c>
      <c r="F160" s="2" t="s">
        <v>1118</v>
      </c>
      <c r="G160" s="2" t="s">
        <v>1119</v>
      </c>
      <c r="H160" s="2" t="s">
        <v>1120</v>
      </c>
      <c r="I160" s="2" t="s">
        <v>226</v>
      </c>
      <c r="J160" s="2" t="s">
        <v>44</v>
      </c>
      <c r="K160" s="2"/>
      <c r="L160" s="2" t="s">
        <v>1121</v>
      </c>
      <c r="M160" s="2" t="s">
        <v>27</v>
      </c>
      <c r="N160" s="2" t="s">
        <v>1122</v>
      </c>
      <c r="O160" s="2" t="s">
        <v>29</v>
      </c>
      <c r="P160" s="2" t="s">
        <v>1123</v>
      </c>
    </row>
    <row r="161" customFormat="false" ht="113.4" hidden="false" customHeight="false" outlineLevel="0" collapsed="false">
      <c r="A161" s="2" t="s">
        <v>683</v>
      </c>
      <c r="B161" s="2" t="s">
        <v>17</v>
      </c>
      <c r="C161" s="2" t="s">
        <v>1124</v>
      </c>
      <c r="D161" s="2" t="s">
        <v>390</v>
      </c>
      <c r="E161" s="2" t="s">
        <v>67</v>
      </c>
      <c r="F161" s="2" t="s">
        <v>1125</v>
      </c>
      <c r="G161" s="2" t="s">
        <v>1126</v>
      </c>
      <c r="H161" s="2" t="s">
        <v>1127</v>
      </c>
      <c r="I161" s="2" t="s">
        <v>944</v>
      </c>
      <c r="J161" s="2" t="s">
        <v>44</v>
      </c>
      <c r="K161" s="2"/>
      <c r="L161" s="2" t="s">
        <v>1022</v>
      </c>
      <c r="M161" s="2" t="s">
        <v>160</v>
      </c>
      <c r="N161" s="2" t="s">
        <v>1128</v>
      </c>
      <c r="O161" s="2" t="s">
        <v>29</v>
      </c>
      <c r="P161" s="2" t="s">
        <v>1129</v>
      </c>
    </row>
    <row r="162" customFormat="false" ht="102.2" hidden="false" customHeight="false" outlineLevel="0" collapsed="false">
      <c r="A162" s="2" t="s">
        <v>683</v>
      </c>
      <c r="B162" s="2" t="s">
        <v>31</v>
      </c>
      <c r="C162" s="2" t="s">
        <v>1117</v>
      </c>
      <c r="D162" s="2" t="s">
        <v>390</v>
      </c>
      <c r="E162" s="2" t="s">
        <v>20</v>
      </c>
      <c r="F162" s="2" t="s">
        <v>1130</v>
      </c>
      <c r="G162" s="2" t="s">
        <v>1131</v>
      </c>
      <c r="H162" s="2" t="s">
        <v>1132</v>
      </c>
      <c r="I162" s="2" t="s">
        <v>226</v>
      </c>
      <c r="J162" s="2" t="s">
        <v>44</v>
      </c>
      <c r="K162" s="2"/>
      <c r="L162" s="2" t="s">
        <v>1133</v>
      </c>
      <c r="M162" s="2" t="s">
        <v>27</v>
      </c>
      <c r="N162" s="2" t="s">
        <v>1134</v>
      </c>
      <c r="O162" s="2" t="s">
        <v>29</v>
      </c>
      <c r="P162" s="2" t="s">
        <v>1135</v>
      </c>
    </row>
    <row r="163" customFormat="false" ht="57.45" hidden="false" customHeight="false" outlineLevel="0" collapsed="false">
      <c r="A163" s="2" t="s">
        <v>683</v>
      </c>
      <c r="B163" s="2" t="s">
        <v>31</v>
      </c>
      <c r="C163" s="2" t="s">
        <v>1136</v>
      </c>
      <c r="D163" s="2" t="s">
        <v>390</v>
      </c>
      <c r="E163" s="2" t="s">
        <v>20</v>
      </c>
      <c r="F163" s="2" t="s">
        <v>1137</v>
      </c>
      <c r="G163" s="2" t="s">
        <v>1138</v>
      </c>
      <c r="H163" s="2" t="s">
        <v>1139</v>
      </c>
      <c r="I163" s="2" t="s">
        <v>738</v>
      </c>
      <c r="J163" s="2" t="s">
        <v>25</v>
      </c>
      <c r="K163" s="2"/>
      <c r="L163" s="2" t="s">
        <v>1140</v>
      </c>
      <c r="M163" s="2" t="s">
        <v>27</v>
      </c>
      <c r="N163" s="2" t="s">
        <v>1141</v>
      </c>
      <c r="O163" s="2" t="s">
        <v>29</v>
      </c>
      <c r="P163" s="2" t="s">
        <v>1142</v>
      </c>
    </row>
    <row r="164" customFormat="false" ht="91" hidden="false" customHeight="false" outlineLevel="0" collapsed="false">
      <c r="A164" s="2" t="s">
        <v>683</v>
      </c>
      <c r="B164" s="2" t="s">
        <v>31</v>
      </c>
      <c r="C164" s="2" t="s">
        <v>1117</v>
      </c>
      <c r="D164" s="2" t="s">
        <v>390</v>
      </c>
      <c r="E164" s="2" t="s">
        <v>20</v>
      </c>
      <c r="F164" s="2" t="s">
        <v>1143</v>
      </c>
      <c r="G164" s="2" t="s">
        <v>1144</v>
      </c>
      <c r="H164" s="2" t="s">
        <v>1120</v>
      </c>
      <c r="I164" s="2" t="s">
        <v>226</v>
      </c>
      <c r="J164" s="2" t="s">
        <v>44</v>
      </c>
      <c r="K164" s="2"/>
      <c r="L164" s="2" t="s">
        <v>1145</v>
      </c>
      <c r="M164" s="2" t="s">
        <v>27</v>
      </c>
      <c r="N164" s="2" t="s">
        <v>1146</v>
      </c>
      <c r="O164" s="2" t="s">
        <v>29</v>
      </c>
      <c r="P164" s="2" t="s">
        <v>1147</v>
      </c>
    </row>
    <row r="165" customFormat="false" ht="102.2" hidden="false" customHeight="false" outlineLevel="0" collapsed="false">
      <c r="A165" s="2" t="s">
        <v>683</v>
      </c>
      <c r="B165" s="2" t="s">
        <v>31</v>
      </c>
      <c r="C165" s="2" t="s">
        <v>1117</v>
      </c>
      <c r="D165" s="2" t="s">
        <v>390</v>
      </c>
      <c r="E165" s="2" t="s">
        <v>20</v>
      </c>
      <c r="F165" s="2" t="s">
        <v>1148</v>
      </c>
      <c r="G165" s="2" t="s">
        <v>1149</v>
      </c>
      <c r="H165" s="2" t="s">
        <v>1120</v>
      </c>
      <c r="I165" s="2" t="s">
        <v>226</v>
      </c>
      <c r="J165" s="2" t="s">
        <v>44</v>
      </c>
      <c r="K165" s="2"/>
      <c r="L165" s="2" t="s">
        <v>1150</v>
      </c>
      <c r="M165" s="2" t="s">
        <v>27</v>
      </c>
      <c r="N165" s="2" t="s">
        <v>1151</v>
      </c>
      <c r="O165" s="2" t="s">
        <v>29</v>
      </c>
      <c r="P165" s="2" t="s">
        <v>1152</v>
      </c>
    </row>
    <row r="166" customFormat="false" ht="102.2" hidden="false" customHeight="false" outlineLevel="0" collapsed="false">
      <c r="A166" s="2" t="s">
        <v>683</v>
      </c>
      <c r="B166" s="2" t="s">
        <v>31</v>
      </c>
      <c r="C166" s="2" t="s">
        <v>1117</v>
      </c>
      <c r="D166" s="2" t="s">
        <v>390</v>
      </c>
      <c r="E166" s="2" t="s">
        <v>20</v>
      </c>
      <c r="F166" s="2" t="s">
        <v>1153</v>
      </c>
      <c r="G166" s="2" t="s">
        <v>1154</v>
      </c>
      <c r="H166" s="2" t="s">
        <v>1120</v>
      </c>
      <c r="I166" s="2" t="s">
        <v>1056</v>
      </c>
      <c r="J166" s="2" t="s">
        <v>44</v>
      </c>
      <c r="K166" s="2"/>
      <c r="L166" s="2" t="s">
        <v>789</v>
      </c>
      <c r="M166" s="2" t="s">
        <v>46</v>
      </c>
      <c r="N166" s="2" t="s">
        <v>1155</v>
      </c>
      <c r="O166" s="2" t="s">
        <v>29</v>
      </c>
      <c r="P166" s="2" t="s">
        <v>1156</v>
      </c>
    </row>
    <row r="167" customFormat="false" ht="102.2" hidden="false" customHeight="false" outlineLevel="0" collapsed="false">
      <c r="A167" s="2" t="s">
        <v>683</v>
      </c>
      <c r="B167" s="2" t="s">
        <v>31</v>
      </c>
      <c r="C167" s="2" t="s">
        <v>1117</v>
      </c>
      <c r="D167" s="2" t="s">
        <v>390</v>
      </c>
      <c r="E167" s="2" t="s">
        <v>20</v>
      </c>
      <c r="F167" s="2" t="s">
        <v>1157</v>
      </c>
      <c r="G167" s="2" t="s">
        <v>1158</v>
      </c>
      <c r="H167" s="2" t="s">
        <v>1120</v>
      </c>
      <c r="I167" s="2" t="s">
        <v>738</v>
      </c>
      <c r="J167" s="2" t="s">
        <v>44</v>
      </c>
      <c r="K167" s="2"/>
      <c r="L167" s="2" t="s">
        <v>1159</v>
      </c>
      <c r="M167" s="2" t="s">
        <v>27</v>
      </c>
      <c r="N167" s="2" t="s">
        <v>1160</v>
      </c>
      <c r="O167" s="2" t="s">
        <v>29</v>
      </c>
      <c r="P167" s="2" t="s">
        <v>1161</v>
      </c>
    </row>
    <row r="168" customFormat="false" ht="147" hidden="false" customHeight="false" outlineLevel="0" collapsed="false">
      <c r="A168" s="2" t="s">
        <v>683</v>
      </c>
      <c r="B168" s="2" t="s">
        <v>31</v>
      </c>
      <c r="C168" s="2" t="s">
        <v>1117</v>
      </c>
      <c r="D168" s="2" t="s">
        <v>390</v>
      </c>
      <c r="E168" s="2" t="s">
        <v>20</v>
      </c>
      <c r="F168" s="2" t="s">
        <v>1162</v>
      </c>
      <c r="G168" s="2" t="s">
        <v>1163</v>
      </c>
      <c r="H168" s="2" t="s">
        <v>1120</v>
      </c>
      <c r="I168" s="2" t="s">
        <v>226</v>
      </c>
      <c r="J168" s="2" t="s">
        <v>44</v>
      </c>
      <c r="K168" s="2"/>
      <c r="L168" s="2" t="s">
        <v>1164</v>
      </c>
      <c r="M168" s="2" t="s">
        <v>27</v>
      </c>
      <c r="N168" s="2" t="s">
        <v>1165</v>
      </c>
      <c r="O168" s="2" t="s">
        <v>29</v>
      </c>
      <c r="P168" s="2" t="s">
        <v>1166</v>
      </c>
    </row>
    <row r="169" customFormat="false" ht="102.2" hidden="false" customHeight="false" outlineLevel="0" collapsed="false">
      <c r="A169" s="2" t="s">
        <v>683</v>
      </c>
      <c r="B169" s="2" t="s">
        <v>31</v>
      </c>
      <c r="C169" s="2" t="s">
        <v>1117</v>
      </c>
      <c r="D169" s="2" t="s">
        <v>390</v>
      </c>
      <c r="E169" s="2" t="s">
        <v>20</v>
      </c>
      <c r="F169" s="2" t="s">
        <v>1167</v>
      </c>
      <c r="G169" s="2" t="s">
        <v>1168</v>
      </c>
      <c r="H169" s="2" t="s">
        <v>1120</v>
      </c>
      <c r="I169" s="2" t="s">
        <v>226</v>
      </c>
      <c r="J169" s="2" t="s">
        <v>44</v>
      </c>
      <c r="K169" s="2"/>
      <c r="L169" s="2" t="s">
        <v>1169</v>
      </c>
      <c r="M169" s="2" t="s">
        <v>27</v>
      </c>
      <c r="N169" s="2" t="s">
        <v>1170</v>
      </c>
      <c r="O169" s="2" t="s">
        <v>29</v>
      </c>
      <c r="P169" s="2" t="s">
        <v>1171</v>
      </c>
    </row>
    <row r="170" customFormat="false" ht="46.25" hidden="false" customHeight="false" outlineLevel="0" collapsed="false">
      <c r="A170" s="2" t="s">
        <v>683</v>
      </c>
      <c r="B170" s="2" t="s">
        <v>31</v>
      </c>
      <c r="C170" s="2" t="s">
        <v>1172</v>
      </c>
      <c r="D170" s="2" t="s">
        <v>390</v>
      </c>
      <c r="E170" s="2" t="s">
        <v>20</v>
      </c>
      <c r="F170" s="2" t="s">
        <v>1173</v>
      </c>
      <c r="G170" s="2" t="s">
        <v>1174</v>
      </c>
      <c r="H170" s="2" t="s">
        <v>1139</v>
      </c>
      <c r="I170" s="2" t="s">
        <v>405</v>
      </c>
      <c r="J170" s="2" t="s">
        <v>25</v>
      </c>
      <c r="K170" s="2"/>
      <c r="L170" s="2" t="s">
        <v>714</v>
      </c>
      <c r="M170" s="2" t="s">
        <v>27</v>
      </c>
      <c r="N170" s="2" t="s">
        <v>715</v>
      </c>
      <c r="O170" s="2" t="s">
        <v>29</v>
      </c>
      <c r="P170" s="2" t="s">
        <v>1175</v>
      </c>
    </row>
    <row r="171" customFormat="false" ht="147" hidden="false" customHeight="false" outlineLevel="0" collapsed="false">
      <c r="A171" s="2" t="s">
        <v>683</v>
      </c>
      <c r="B171" s="2" t="s">
        <v>31</v>
      </c>
      <c r="C171" s="2" t="s">
        <v>1176</v>
      </c>
      <c r="D171" s="2" t="s">
        <v>390</v>
      </c>
      <c r="E171" s="2" t="s">
        <v>20</v>
      </c>
      <c r="F171" s="2" t="s">
        <v>1177</v>
      </c>
      <c r="G171" s="2" t="s">
        <v>1178</v>
      </c>
      <c r="H171" s="2" t="s">
        <v>1120</v>
      </c>
      <c r="I171" s="2" t="s">
        <v>226</v>
      </c>
      <c r="J171" s="2" t="s">
        <v>44</v>
      </c>
      <c r="K171" s="2"/>
      <c r="L171" s="2" t="s">
        <v>1179</v>
      </c>
      <c r="M171" s="2" t="s">
        <v>27</v>
      </c>
      <c r="N171" s="2" t="s">
        <v>1180</v>
      </c>
      <c r="O171" s="2" t="s">
        <v>29</v>
      </c>
      <c r="P171" s="2" t="s">
        <v>1181</v>
      </c>
    </row>
    <row r="172" customFormat="false" ht="102.2" hidden="false" customHeight="false" outlineLevel="0" collapsed="false">
      <c r="A172" s="2" t="s">
        <v>683</v>
      </c>
      <c r="B172" s="2" t="s">
        <v>31</v>
      </c>
      <c r="C172" s="2" t="s">
        <v>1182</v>
      </c>
      <c r="D172" s="2" t="s">
        <v>390</v>
      </c>
      <c r="E172" s="2" t="s">
        <v>20</v>
      </c>
      <c r="F172" s="2" t="s">
        <v>1183</v>
      </c>
      <c r="G172" s="2" t="s">
        <v>1184</v>
      </c>
      <c r="H172" s="2" t="s">
        <v>1185</v>
      </c>
      <c r="I172" s="2" t="s">
        <v>226</v>
      </c>
      <c r="J172" s="2" t="s">
        <v>44</v>
      </c>
      <c r="K172" s="2"/>
      <c r="L172" s="2" t="s">
        <v>1186</v>
      </c>
      <c r="M172" s="2" t="s">
        <v>27</v>
      </c>
      <c r="N172" s="2" t="s">
        <v>1187</v>
      </c>
      <c r="O172" s="2" t="s">
        <v>29</v>
      </c>
      <c r="P172" s="2" t="s">
        <v>1188</v>
      </c>
    </row>
    <row r="173" customFormat="false" ht="91" hidden="false" customHeight="false" outlineLevel="0" collapsed="false">
      <c r="A173" s="2" t="s">
        <v>683</v>
      </c>
      <c r="B173" s="2" t="s">
        <v>17</v>
      </c>
      <c r="C173" s="2" t="s">
        <v>1189</v>
      </c>
      <c r="D173" s="2" t="s">
        <v>390</v>
      </c>
      <c r="E173" s="2" t="s">
        <v>67</v>
      </c>
      <c r="F173" s="2" t="s">
        <v>1190</v>
      </c>
      <c r="G173" s="2" t="s">
        <v>1191</v>
      </c>
      <c r="H173" s="2" t="s">
        <v>1127</v>
      </c>
      <c r="I173" s="2" t="s">
        <v>372</v>
      </c>
      <c r="J173" s="2" t="s">
        <v>44</v>
      </c>
      <c r="K173" s="2"/>
      <c r="L173" s="2" t="s">
        <v>1192</v>
      </c>
      <c r="M173" s="2" t="s">
        <v>27</v>
      </c>
      <c r="N173" s="2" t="s">
        <v>1193</v>
      </c>
      <c r="O173" s="2" t="s">
        <v>29</v>
      </c>
      <c r="P173" s="2" t="s">
        <v>1194</v>
      </c>
    </row>
    <row r="174" customFormat="false" ht="102.2" hidden="false" customHeight="false" outlineLevel="0" collapsed="false">
      <c r="A174" s="2" t="s">
        <v>683</v>
      </c>
      <c r="B174" s="2" t="s">
        <v>31</v>
      </c>
      <c r="C174" s="2" t="s">
        <v>1195</v>
      </c>
      <c r="D174" s="2" t="s">
        <v>390</v>
      </c>
      <c r="E174" s="2" t="s">
        <v>20</v>
      </c>
      <c r="F174" s="2" t="s">
        <v>1196</v>
      </c>
      <c r="G174" s="2" t="s">
        <v>1197</v>
      </c>
      <c r="H174" s="2" t="s">
        <v>1198</v>
      </c>
      <c r="I174" s="2" t="s">
        <v>226</v>
      </c>
      <c r="J174" s="2" t="s">
        <v>44</v>
      </c>
      <c r="K174" s="2"/>
      <c r="L174" s="2" t="s">
        <v>1199</v>
      </c>
      <c r="M174" s="2" t="s">
        <v>27</v>
      </c>
      <c r="N174" s="2" t="s">
        <v>1200</v>
      </c>
      <c r="O174" s="2" t="s">
        <v>29</v>
      </c>
      <c r="P174" s="2" t="s">
        <v>1201</v>
      </c>
    </row>
    <row r="175" customFormat="false" ht="102.2" hidden="false" customHeight="false" outlineLevel="0" collapsed="false">
      <c r="A175" s="2" t="s">
        <v>683</v>
      </c>
      <c r="B175" s="2" t="s">
        <v>169</v>
      </c>
      <c r="C175" s="2" t="s">
        <v>1202</v>
      </c>
      <c r="D175" s="2" t="s">
        <v>539</v>
      </c>
      <c r="E175" s="2" t="s">
        <v>67</v>
      </c>
      <c r="F175" s="2" t="s">
        <v>1203</v>
      </c>
      <c r="G175" s="2" t="s">
        <v>1204</v>
      </c>
      <c r="H175" s="2" t="s">
        <v>678</v>
      </c>
      <c r="I175" s="2" t="s">
        <v>36</v>
      </c>
      <c r="J175" s="2" t="s">
        <v>840</v>
      </c>
      <c r="K175" s="2" t="s">
        <v>93</v>
      </c>
      <c r="L175" s="2" t="s">
        <v>1205</v>
      </c>
      <c r="M175" s="2" t="s">
        <v>121</v>
      </c>
      <c r="N175" s="2" t="s">
        <v>1206</v>
      </c>
      <c r="O175" s="2" t="s">
        <v>29</v>
      </c>
      <c r="P175" s="2" t="s">
        <v>1207</v>
      </c>
    </row>
    <row r="176" customFormat="false" ht="68.65" hidden="false" customHeight="false" outlineLevel="0" collapsed="false">
      <c r="A176" s="2" t="s">
        <v>683</v>
      </c>
      <c r="B176" s="2" t="s">
        <v>169</v>
      </c>
      <c r="C176" s="2" t="s">
        <v>1208</v>
      </c>
      <c r="D176" s="2" t="s">
        <v>539</v>
      </c>
      <c r="E176" s="2" t="s">
        <v>67</v>
      </c>
      <c r="F176" s="2" t="s">
        <v>1209</v>
      </c>
      <c r="G176" s="2" t="s">
        <v>1210</v>
      </c>
      <c r="H176" s="2" t="s">
        <v>678</v>
      </c>
      <c r="I176" s="2" t="s">
        <v>24</v>
      </c>
      <c r="J176" s="2" t="s">
        <v>840</v>
      </c>
      <c r="K176" s="2" t="s">
        <v>93</v>
      </c>
      <c r="L176" s="2" t="s">
        <v>1211</v>
      </c>
      <c r="M176" s="2" t="s">
        <v>121</v>
      </c>
      <c r="N176" s="2" t="s">
        <v>1212</v>
      </c>
      <c r="O176" s="2" t="s">
        <v>29</v>
      </c>
      <c r="P176" s="2" t="s">
        <v>1213</v>
      </c>
    </row>
    <row r="177" customFormat="false" ht="57.45" hidden="false" customHeight="false" outlineLevel="0" collapsed="false">
      <c r="A177" s="2" t="s">
        <v>683</v>
      </c>
      <c r="B177" s="2" t="s">
        <v>17</v>
      </c>
      <c r="C177" s="2" t="s">
        <v>1214</v>
      </c>
      <c r="D177" s="2" t="s">
        <v>539</v>
      </c>
      <c r="E177" s="2" t="s">
        <v>67</v>
      </c>
      <c r="F177" s="2" t="s">
        <v>1215</v>
      </c>
      <c r="G177" s="2" t="s">
        <v>1216</v>
      </c>
      <c r="H177" s="2" t="s">
        <v>240</v>
      </c>
      <c r="I177" s="2" t="s">
        <v>127</v>
      </c>
      <c r="J177" s="2" t="s">
        <v>44</v>
      </c>
      <c r="K177" s="2"/>
      <c r="L177" s="2" t="s">
        <v>1217</v>
      </c>
      <c r="M177" s="2" t="s">
        <v>27</v>
      </c>
      <c r="N177" s="2" t="s">
        <v>1218</v>
      </c>
      <c r="O177" s="2" t="s">
        <v>29</v>
      </c>
      <c r="P177" s="2" t="s">
        <v>551</v>
      </c>
    </row>
    <row r="178" customFormat="false" ht="57.45" hidden="false" customHeight="false" outlineLevel="0" collapsed="false">
      <c r="A178" s="2" t="s">
        <v>683</v>
      </c>
      <c r="B178" s="2" t="s">
        <v>17</v>
      </c>
      <c r="C178" s="2" t="s">
        <v>1219</v>
      </c>
      <c r="D178" s="2" t="s">
        <v>539</v>
      </c>
      <c r="E178" s="2" t="s">
        <v>67</v>
      </c>
      <c r="F178" s="2" t="s">
        <v>1220</v>
      </c>
      <c r="G178" s="2" t="s">
        <v>1221</v>
      </c>
      <c r="H178" s="2" t="s">
        <v>1222</v>
      </c>
      <c r="I178" s="2" t="s">
        <v>226</v>
      </c>
      <c r="J178" s="2" t="s">
        <v>44</v>
      </c>
      <c r="K178" s="2" t="s">
        <v>93</v>
      </c>
      <c r="L178" s="2" t="s">
        <v>242</v>
      </c>
      <c r="M178" s="2" t="s">
        <v>46</v>
      </c>
      <c r="N178" s="2" t="s">
        <v>1223</v>
      </c>
      <c r="O178" s="2" t="s">
        <v>29</v>
      </c>
      <c r="P178" s="2" t="s">
        <v>1224</v>
      </c>
    </row>
    <row r="179" customFormat="false" ht="68.65" hidden="false" customHeight="false" outlineLevel="0" collapsed="false">
      <c r="A179" s="2" t="s">
        <v>683</v>
      </c>
      <c r="B179" s="2" t="s">
        <v>17</v>
      </c>
      <c r="C179" s="2" t="s">
        <v>1225</v>
      </c>
      <c r="D179" s="2" t="s">
        <v>539</v>
      </c>
      <c r="E179" s="2" t="s">
        <v>20</v>
      </c>
      <c r="F179" s="2" t="s">
        <v>1226</v>
      </c>
      <c r="G179" s="2" t="s">
        <v>1227</v>
      </c>
      <c r="H179" s="2" t="s">
        <v>1228</v>
      </c>
      <c r="I179" s="2" t="s">
        <v>474</v>
      </c>
      <c r="J179" s="2" t="s">
        <v>44</v>
      </c>
      <c r="K179" s="2" t="s">
        <v>1229</v>
      </c>
      <c r="L179" s="2" t="s">
        <v>598</v>
      </c>
      <c r="M179" s="2" t="s">
        <v>46</v>
      </c>
      <c r="N179" s="2" t="s">
        <v>1230</v>
      </c>
      <c r="O179" s="2" t="s">
        <v>29</v>
      </c>
      <c r="P179" s="2" t="s">
        <v>1231</v>
      </c>
    </row>
    <row r="180" customFormat="false" ht="68.65" hidden="false" customHeight="false" outlineLevel="0" collapsed="false">
      <c r="A180" s="2" t="s">
        <v>683</v>
      </c>
      <c r="B180" s="2" t="s">
        <v>17</v>
      </c>
      <c r="C180" s="2" t="s">
        <v>1232</v>
      </c>
      <c r="D180" s="2" t="s">
        <v>539</v>
      </c>
      <c r="E180" s="2" t="s">
        <v>67</v>
      </c>
      <c r="F180" s="2" t="s">
        <v>1233</v>
      </c>
      <c r="G180" s="2" t="s">
        <v>1234</v>
      </c>
      <c r="H180" s="2" t="s">
        <v>678</v>
      </c>
      <c r="I180" s="2" t="s">
        <v>24</v>
      </c>
      <c r="J180" s="2" t="s">
        <v>118</v>
      </c>
      <c r="K180" s="2" t="s">
        <v>93</v>
      </c>
      <c r="L180" s="2" t="s">
        <v>1235</v>
      </c>
      <c r="M180" s="2" t="s">
        <v>121</v>
      </c>
      <c r="N180" s="2" t="s">
        <v>1236</v>
      </c>
      <c r="O180" s="2" t="s">
        <v>29</v>
      </c>
      <c r="P180" s="2" t="s">
        <v>1237</v>
      </c>
    </row>
    <row r="181" customFormat="false" ht="57.45" hidden="false" customHeight="false" outlineLevel="0" collapsed="false">
      <c r="A181" s="2" t="s">
        <v>683</v>
      </c>
      <c r="B181" s="2" t="s">
        <v>17</v>
      </c>
      <c r="C181" s="2" t="s">
        <v>1238</v>
      </c>
      <c r="D181" s="2" t="s">
        <v>539</v>
      </c>
      <c r="E181" s="2" t="s">
        <v>20</v>
      </c>
      <c r="F181" s="2" t="s">
        <v>1239</v>
      </c>
      <c r="G181" s="2" t="s">
        <v>1240</v>
      </c>
      <c r="H181" s="2" t="s">
        <v>678</v>
      </c>
      <c r="I181" s="2" t="s">
        <v>763</v>
      </c>
      <c r="J181" s="2" t="s">
        <v>840</v>
      </c>
      <c r="K181" s="2" t="s">
        <v>1241</v>
      </c>
      <c r="L181" s="2" t="s">
        <v>1211</v>
      </c>
      <c r="M181" s="2" t="s">
        <v>121</v>
      </c>
      <c r="N181" s="2" t="s">
        <v>1242</v>
      </c>
      <c r="O181" s="2" t="s">
        <v>29</v>
      </c>
      <c r="P181" s="2" t="s">
        <v>1243</v>
      </c>
    </row>
    <row r="182" customFormat="false" ht="124.6" hidden="false" customHeight="false" outlineLevel="0" collapsed="false">
      <c r="A182" s="2" t="s">
        <v>683</v>
      </c>
      <c r="B182" s="2" t="s">
        <v>17</v>
      </c>
      <c r="C182" s="2" t="s">
        <v>1244</v>
      </c>
      <c r="D182" s="2" t="s">
        <v>539</v>
      </c>
      <c r="E182" s="2" t="s">
        <v>67</v>
      </c>
      <c r="F182" s="2" t="s">
        <v>1245</v>
      </c>
      <c r="G182" s="2" t="s">
        <v>1246</v>
      </c>
      <c r="H182" s="2" t="s">
        <v>1247</v>
      </c>
      <c r="I182" s="2" t="s">
        <v>405</v>
      </c>
      <c r="J182" s="2" t="s">
        <v>44</v>
      </c>
      <c r="K182" s="2"/>
      <c r="L182" s="2" t="s">
        <v>1248</v>
      </c>
      <c r="M182" s="2" t="s">
        <v>121</v>
      </c>
      <c r="N182" s="2" t="s">
        <v>1249</v>
      </c>
      <c r="O182" s="2" t="s">
        <v>29</v>
      </c>
      <c r="P182" s="2" t="s">
        <v>1250</v>
      </c>
    </row>
    <row r="183" customFormat="false" ht="57.45" hidden="false" customHeight="false" outlineLevel="0" collapsed="false">
      <c r="A183" s="2" t="s">
        <v>683</v>
      </c>
      <c r="B183" s="2" t="s">
        <v>17</v>
      </c>
      <c r="C183" s="2" t="s">
        <v>1251</v>
      </c>
      <c r="D183" s="2" t="s">
        <v>539</v>
      </c>
      <c r="E183" s="2" t="s">
        <v>67</v>
      </c>
      <c r="F183" s="2" t="s">
        <v>1252</v>
      </c>
      <c r="G183" s="2" t="s">
        <v>1253</v>
      </c>
      <c r="H183" s="2" t="s">
        <v>240</v>
      </c>
      <c r="I183" s="2" t="s">
        <v>24</v>
      </c>
      <c r="J183" s="2" t="s">
        <v>44</v>
      </c>
      <c r="K183" s="2"/>
      <c r="L183" s="2" t="s">
        <v>1254</v>
      </c>
      <c r="M183" s="2" t="s">
        <v>243</v>
      </c>
      <c r="N183" s="2" t="s">
        <v>1255</v>
      </c>
      <c r="O183" s="2" t="s">
        <v>29</v>
      </c>
      <c r="P183" s="2" t="s">
        <v>1256</v>
      </c>
    </row>
    <row r="184" customFormat="false" ht="46.25" hidden="false" customHeight="false" outlineLevel="0" collapsed="false">
      <c r="A184" s="2" t="s">
        <v>683</v>
      </c>
      <c r="B184" s="2" t="s">
        <v>17</v>
      </c>
      <c r="C184" s="2" t="s">
        <v>1257</v>
      </c>
      <c r="D184" s="2" t="s">
        <v>539</v>
      </c>
      <c r="E184" s="2" t="s">
        <v>593</v>
      </c>
      <c r="F184" s="2" t="s">
        <v>1258</v>
      </c>
      <c r="G184" s="2" t="s">
        <v>1259</v>
      </c>
      <c r="H184" s="2" t="s">
        <v>609</v>
      </c>
      <c r="I184" s="2" t="s">
        <v>1260</v>
      </c>
      <c r="J184" s="2" t="s">
        <v>44</v>
      </c>
      <c r="K184" s="2" t="s">
        <v>1261</v>
      </c>
      <c r="L184" s="2" t="s">
        <v>1262</v>
      </c>
      <c r="M184" s="2" t="s">
        <v>46</v>
      </c>
      <c r="N184" s="2" t="s">
        <v>1263</v>
      </c>
      <c r="O184" s="2" t="s">
        <v>29</v>
      </c>
      <c r="P184" s="2" t="s">
        <v>1264</v>
      </c>
    </row>
    <row r="185" customFormat="false" ht="57.45" hidden="false" customHeight="false" outlineLevel="0" collapsed="false">
      <c r="A185" s="2" t="s">
        <v>683</v>
      </c>
      <c r="B185" s="2" t="s">
        <v>65</v>
      </c>
      <c r="C185" s="2" t="s">
        <v>1265</v>
      </c>
      <c r="D185" s="2" t="s">
        <v>539</v>
      </c>
      <c r="E185" s="2" t="s">
        <v>67</v>
      </c>
      <c r="F185" s="2" t="s">
        <v>1266</v>
      </c>
      <c r="G185" s="2" t="s">
        <v>1267</v>
      </c>
      <c r="H185" s="2" t="s">
        <v>240</v>
      </c>
      <c r="I185" s="2" t="s">
        <v>763</v>
      </c>
      <c r="J185" s="2" t="s">
        <v>44</v>
      </c>
      <c r="K185" s="2" t="s">
        <v>93</v>
      </c>
      <c r="L185" s="2" t="s">
        <v>1268</v>
      </c>
      <c r="M185" s="2" t="s">
        <v>46</v>
      </c>
      <c r="N185" s="2" t="s">
        <v>1269</v>
      </c>
      <c r="O185" s="2" t="s">
        <v>29</v>
      </c>
      <c r="P185" s="2" t="s">
        <v>1270</v>
      </c>
    </row>
    <row r="186" customFormat="false" ht="79.85" hidden="false" customHeight="false" outlineLevel="0" collapsed="false">
      <c r="A186" s="2" t="s">
        <v>683</v>
      </c>
      <c r="B186" s="2" t="s">
        <v>17</v>
      </c>
      <c r="C186" s="2" t="s">
        <v>1271</v>
      </c>
      <c r="D186" s="2" t="s">
        <v>539</v>
      </c>
      <c r="E186" s="2" t="s">
        <v>593</v>
      </c>
      <c r="F186" s="2" t="s">
        <v>1272</v>
      </c>
      <c r="G186" s="2" t="s">
        <v>1273</v>
      </c>
      <c r="H186" s="2" t="s">
        <v>609</v>
      </c>
      <c r="I186" s="2" t="s">
        <v>1274</v>
      </c>
      <c r="J186" s="2" t="s">
        <v>44</v>
      </c>
      <c r="K186" s="2" t="s">
        <v>1275</v>
      </c>
      <c r="L186" s="2" t="s">
        <v>598</v>
      </c>
      <c r="M186" s="2" t="s">
        <v>46</v>
      </c>
      <c r="N186" s="2" t="s">
        <v>1276</v>
      </c>
      <c r="O186" s="2" t="s">
        <v>29</v>
      </c>
      <c r="P186" s="2" t="s">
        <v>1277</v>
      </c>
    </row>
    <row r="187" customFormat="false" ht="57.45" hidden="false" customHeight="false" outlineLevel="0" collapsed="false">
      <c r="A187" s="2" t="s">
        <v>683</v>
      </c>
      <c r="B187" s="2" t="s">
        <v>17</v>
      </c>
      <c r="C187" s="2" t="s">
        <v>1278</v>
      </c>
      <c r="D187" s="2" t="s">
        <v>539</v>
      </c>
      <c r="E187" s="2" t="s">
        <v>593</v>
      </c>
      <c r="F187" s="2" t="s">
        <v>1279</v>
      </c>
      <c r="G187" s="2" t="s">
        <v>1280</v>
      </c>
      <c r="H187" s="2" t="s">
        <v>609</v>
      </c>
      <c r="I187" s="2" t="s">
        <v>226</v>
      </c>
      <c r="J187" s="2" t="s">
        <v>44</v>
      </c>
      <c r="K187" s="2" t="s">
        <v>1281</v>
      </c>
      <c r="L187" s="2" t="s">
        <v>242</v>
      </c>
      <c r="M187" s="2" t="s">
        <v>46</v>
      </c>
      <c r="N187" s="2" t="s">
        <v>1282</v>
      </c>
      <c r="O187" s="2" t="s">
        <v>29</v>
      </c>
      <c r="P187" s="2" t="s">
        <v>1283</v>
      </c>
    </row>
    <row r="188" customFormat="false" ht="57.45" hidden="false" customHeight="false" outlineLevel="0" collapsed="false">
      <c r="A188" s="2" t="s">
        <v>683</v>
      </c>
      <c r="B188" s="2" t="s">
        <v>17</v>
      </c>
      <c r="C188" s="2" t="s">
        <v>1284</v>
      </c>
      <c r="D188" s="2" t="s">
        <v>539</v>
      </c>
      <c r="E188" s="2" t="s">
        <v>67</v>
      </c>
      <c r="F188" s="2" t="s">
        <v>1285</v>
      </c>
      <c r="G188" s="2" t="s">
        <v>1286</v>
      </c>
      <c r="H188" s="2" t="s">
        <v>1287</v>
      </c>
      <c r="I188" s="2" t="s">
        <v>405</v>
      </c>
      <c r="J188" s="2" t="s">
        <v>840</v>
      </c>
      <c r="K188" s="2" t="s">
        <v>93</v>
      </c>
      <c r="L188" s="2" t="s">
        <v>1288</v>
      </c>
      <c r="M188" s="2" t="s">
        <v>27</v>
      </c>
      <c r="N188" s="2" t="s">
        <v>1289</v>
      </c>
      <c r="O188" s="2" t="s">
        <v>29</v>
      </c>
      <c r="P188" s="2" t="s">
        <v>551</v>
      </c>
    </row>
    <row r="189" customFormat="false" ht="57.45" hidden="false" customHeight="false" outlineLevel="0" collapsed="false">
      <c r="A189" s="2" t="s">
        <v>683</v>
      </c>
      <c r="B189" s="2" t="s">
        <v>17</v>
      </c>
      <c r="C189" s="2" t="s">
        <v>1290</v>
      </c>
      <c r="D189" s="2" t="s">
        <v>539</v>
      </c>
      <c r="E189" s="2" t="s">
        <v>67</v>
      </c>
      <c r="F189" s="2" t="s">
        <v>1291</v>
      </c>
      <c r="G189" s="2" t="s">
        <v>1292</v>
      </c>
      <c r="H189" s="2" t="s">
        <v>240</v>
      </c>
      <c r="I189" s="2" t="s">
        <v>763</v>
      </c>
      <c r="J189" s="2" t="s">
        <v>44</v>
      </c>
      <c r="K189" s="2" t="s">
        <v>93</v>
      </c>
      <c r="L189" s="2" t="s">
        <v>1248</v>
      </c>
      <c r="M189" s="2" t="s">
        <v>121</v>
      </c>
      <c r="N189" s="2" t="s">
        <v>1293</v>
      </c>
      <c r="O189" s="2" t="s">
        <v>29</v>
      </c>
      <c r="P189" s="2" t="s">
        <v>1294</v>
      </c>
    </row>
    <row r="190" customFormat="false" ht="57.45" hidden="false" customHeight="false" outlineLevel="0" collapsed="false">
      <c r="A190" s="2" t="s">
        <v>683</v>
      </c>
      <c r="B190" s="2" t="s">
        <v>65</v>
      </c>
      <c r="C190" s="2" t="s">
        <v>1295</v>
      </c>
      <c r="D190" s="2" t="s">
        <v>539</v>
      </c>
      <c r="E190" s="2" t="s">
        <v>67</v>
      </c>
      <c r="F190" s="2" t="s">
        <v>1296</v>
      </c>
      <c r="G190" s="2" t="s">
        <v>1297</v>
      </c>
      <c r="H190" s="2" t="s">
        <v>1298</v>
      </c>
      <c r="I190" s="2" t="s">
        <v>738</v>
      </c>
      <c r="J190" s="2" t="s">
        <v>840</v>
      </c>
      <c r="K190" s="2" t="s">
        <v>93</v>
      </c>
      <c r="L190" s="2" t="s">
        <v>1235</v>
      </c>
      <c r="M190" s="2" t="s">
        <v>27</v>
      </c>
      <c r="N190" s="2" t="s">
        <v>1299</v>
      </c>
      <c r="O190" s="2" t="s">
        <v>29</v>
      </c>
      <c r="P190" s="2" t="s">
        <v>1300</v>
      </c>
    </row>
    <row r="191" customFormat="false" ht="57.45" hidden="false" customHeight="false" outlineLevel="0" collapsed="false">
      <c r="A191" s="2" t="s">
        <v>683</v>
      </c>
      <c r="B191" s="2" t="s">
        <v>31</v>
      </c>
      <c r="C191" s="2" t="s">
        <v>1301</v>
      </c>
      <c r="D191" s="2" t="s">
        <v>539</v>
      </c>
      <c r="E191" s="2" t="s">
        <v>593</v>
      </c>
      <c r="F191" s="2" t="s">
        <v>1302</v>
      </c>
      <c r="G191" s="2" t="s">
        <v>1303</v>
      </c>
      <c r="H191" s="2" t="s">
        <v>609</v>
      </c>
      <c r="I191" s="2" t="s">
        <v>1304</v>
      </c>
      <c r="J191" s="2" t="s">
        <v>44</v>
      </c>
      <c r="K191" s="2" t="s">
        <v>1305</v>
      </c>
      <c r="L191" s="2" t="s">
        <v>598</v>
      </c>
      <c r="M191" s="2" t="s">
        <v>46</v>
      </c>
      <c r="N191" s="2" t="s">
        <v>1306</v>
      </c>
      <c r="O191" s="2" t="s">
        <v>29</v>
      </c>
      <c r="P191" s="2" t="s">
        <v>1307</v>
      </c>
    </row>
    <row r="192" customFormat="false" ht="57.45" hidden="false" customHeight="false" outlineLevel="0" collapsed="false">
      <c r="A192" s="2" t="s">
        <v>683</v>
      </c>
      <c r="B192" s="2" t="s">
        <v>17</v>
      </c>
      <c r="C192" s="2" t="s">
        <v>1308</v>
      </c>
      <c r="D192" s="2" t="s">
        <v>539</v>
      </c>
      <c r="E192" s="2" t="s">
        <v>67</v>
      </c>
      <c r="F192" s="2" t="s">
        <v>1309</v>
      </c>
      <c r="G192" s="2" t="s">
        <v>1310</v>
      </c>
      <c r="H192" s="2" t="s">
        <v>1311</v>
      </c>
      <c r="I192" s="2" t="s">
        <v>1312</v>
      </c>
      <c r="J192" s="2" t="s">
        <v>44</v>
      </c>
      <c r="K192" s="2" t="s">
        <v>1313</v>
      </c>
      <c r="L192" s="2" t="s">
        <v>598</v>
      </c>
      <c r="M192" s="2" t="s">
        <v>46</v>
      </c>
      <c r="N192" s="2" t="s">
        <v>1314</v>
      </c>
      <c r="O192" s="2" t="s">
        <v>29</v>
      </c>
      <c r="P192" s="2" t="s">
        <v>1315</v>
      </c>
    </row>
    <row r="193" customFormat="false" ht="124.6" hidden="false" customHeight="false" outlineLevel="0" collapsed="false">
      <c r="A193" s="2" t="s">
        <v>683</v>
      </c>
      <c r="B193" s="2" t="s">
        <v>31</v>
      </c>
      <c r="C193" s="2" t="s">
        <v>1316</v>
      </c>
      <c r="D193" s="2" t="s">
        <v>539</v>
      </c>
      <c r="E193" s="2" t="s">
        <v>67</v>
      </c>
      <c r="F193" s="2" t="s">
        <v>1317</v>
      </c>
      <c r="G193" s="2" t="s">
        <v>1318</v>
      </c>
      <c r="H193" s="2" t="s">
        <v>240</v>
      </c>
      <c r="I193" s="2" t="s">
        <v>36</v>
      </c>
      <c r="J193" s="2" t="s">
        <v>44</v>
      </c>
      <c r="K193" s="2"/>
      <c r="L193" s="2" t="s">
        <v>1319</v>
      </c>
      <c r="M193" s="2" t="s">
        <v>243</v>
      </c>
      <c r="N193" s="2" t="s">
        <v>1320</v>
      </c>
      <c r="O193" s="2" t="s">
        <v>29</v>
      </c>
      <c r="P193" s="2" t="s">
        <v>1321</v>
      </c>
    </row>
    <row r="194" customFormat="false" ht="46.25" hidden="false" customHeight="false" outlineLevel="0" collapsed="false">
      <c r="A194" s="3" t="s">
        <v>683</v>
      </c>
      <c r="B194" s="3" t="s">
        <v>169</v>
      </c>
      <c r="C194" s="3" t="s">
        <v>1322</v>
      </c>
      <c r="D194" s="3" t="s">
        <v>539</v>
      </c>
      <c r="E194" s="3" t="s">
        <v>67</v>
      </c>
      <c r="F194" s="3" t="s">
        <v>1323</v>
      </c>
      <c r="G194" s="3" t="s">
        <v>1324</v>
      </c>
      <c r="H194" s="3" t="s">
        <v>240</v>
      </c>
      <c r="I194" s="3" t="s">
        <v>36</v>
      </c>
      <c r="J194" s="3" t="s">
        <v>25</v>
      </c>
      <c r="K194" s="3"/>
      <c r="L194" s="3" t="s">
        <v>1325</v>
      </c>
      <c r="M194" s="3" t="s">
        <v>121</v>
      </c>
      <c r="N194" s="3" t="s">
        <v>1326</v>
      </c>
      <c r="O194" s="3" t="s">
        <v>183</v>
      </c>
      <c r="P194" s="3" t="s">
        <v>1327</v>
      </c>
    </row>
    <row r="195" customFormat="false" ht="57.45" hidden="false" customHeight="false" outlineLevel="0" collapsed="false">
      <c r="A195" s="2" t="s">
        <v>683</v>
      </c>
      <c r="B195" s="2" t="s">
        <v>17</v>
      </c>
      <c r="C195" s="2" t="s">
        <v>1328</v>
      </c>
      <c r="D195" s="2" t="s">
        <v>539</v>
      </c>
      <c r="E195" s="2" t="s">
        <v>20</v>
      </c>
      <c r="F195" s="2" t="s">
        <v>1329</v>
      </c>
      <c r="G195" s="2" t="s">
        <v>1330</v>
      </c>
      <c r="H195" s="2" t="s">
        <v>609</v>
      </c>
      <c r="I195" s="2" t="s">
        <v>596</v>
      </c>
      <c r="J195" s="2" t="s">
        <v>44</v>
      </c>
      <c r="K195" s="2" t="s">
        <v>1331</v>
      </c>
      <c r="L195" s="2" t="s">
        <v>598</v>
      </c>
      <c r="M195" s="2" t="s">
        <v>46</v>
      </c>
      <c r="N195" s="2" t="s">
        <v>1332</v>
      </c>
      <c r="O195" s="2" t="s">
        <v>29</v>
      </c>
      <c r="P195" s="2" t="s">
        <v>1333</v>
      </c>
    </row>
    <row r="196" customFormat="false" ht="57.45" hidden="false" customHeight="false" outlineLevel="0" collapsed="false">
      <c r="A196" s="2" t="s">
        <v>683</v>
      </c>
      <c r="B196" s="2" t="s">
        <v>17</v>
      </c>
      <c r="C196" s="2" t="s">
        <v>1334</v>
      </c>
      <c r="D196" s="2" t="s">
        <v>539</v>
      </c>
      <c r="E196" s="2" t="s">
        <v>593</v>
      </c>
      <c r="F196" s="2" t="s">
        <v>1335</v>
      </c>
      <c r="G196" s="2" t="s">
        <v>1336</v>
      </c>
      <c r="H196" s="2" t="s">
        <v>1228</v>
      </c>
      <c r="I196" s="2" t="s">
        <v>1337</v>
      </c>
      <c r="J196" s="2" t="s">
        <v>44</v>
      </c>
      <c r="K196" s="2" t="s">
        <v>1281</v>
      </c>
      <c r="L196" s="2" t="s">
        <v>1338</v>
      </c>
      <c r="M196" s="2" t="s">
        <v>46</v>
      </c>
      <c r="N196" s="2" t="s">
        <v>1339</v>
      </c>
      <c r="O196" s="2" t="s">
        <v>29</v>
      </c>
      <c r="P196" s="2" t="s">
        <v>1340</v>
      </c>
    </row>
    <row r="197" customFormat="false" ht="68.65" hidden="false" customHeight="false" outlineLevel="0" collapsed="false">
      <c r="A197" s="2" t="s">
        <v>683</v>
      </c>
      <c r="B197" s="2" t="s">
        <v>65</v>
      </c>
      <c r="C197" s="2" t="s">
        <v>1341</v>
      </c>
      <c r="D197" s="2" t="s">
        <v>539</v>
      </c>
      <c r="E197" s="2" t="s">
        <v>67</v>
      </c>
      <c r="F197" s="2" t="s">
        <v>1342</v>
      </c>
      <c r="G197" s="2" t="s">
        <v>1343</v>
      </c>
      <c r="H197" s="2" t="s">
        <v>1344</v>
      </c>
      <c r="I197" s="2" t="s">
        <v>738</v>
      </c>
      <c r="J197" s="2" t="s">
        <v>118</v>
      </c>
      <c r="K197" s="2" t="s">
        <v>93</v>
      </c>
      <c r="L197" s="2" t="s">
        <v>1211</v>
      </c>
      <c r="M197" s="2" t="s">
        <v>121</v>
      </c>
      <c r="N197" s="2" t="s">
        <v>1345</v>
      </c>
      <c r="O197" s="2" t="s">
        <v>29</v>
      </c>
      <c r="P197" s="2" t="s">
        <v>1346</v>
      </c>
    </row>
    <row r="198" customFormat="false" ht="57.45" hidden="false" customHeight="false" outlineLevel="0" collapsed="false">
      <c r="A198" s="2" t="s">
        <v>683</v>
      </c>
      <c r="B198" s="2" t="s">
        <v>17</v>
      </c>
      <c r="C198" s="2" t="s">
        <v>1347</v>
      </c>
      <c r="D198" s="2" t="s">
        <v>539</v>
      </c>
      <c r="E198" s="2" t="s">
        <v>593</v>
      </c>
      <c r="F198" s="2" t="s">
        <v>1348</v>
      </c>
      <c r="G198" s="2" t="s">
        <v>1349</v>
      </c>
      <c r="H198" s="2" t="s">
        <v>609</v>
      </c>
      <c r="I198" s="2" t="s">
        <v>372</v>
      </c>
      <c r="J198" s="2" t="s">
        <v>44</v>
      </c>
      <c r="K198" s="2" t="s">
        <v>1350</v>
      </c>
      <c r="L198" s="2" t="s">
        <v>598</v>
      </c>
      <c r="M198" s="2" t="s">
        <v>46</v>
      </c>
      <c r="N198" s="2" t="s">
        <v>1351</v>
      </c>
      <c r="O198" s="2" t="s">
        <v>29</v>
      </c>
      <c r="P198" s="2" t="s">
        <v>1352</v>
      </c>
    </row>
    <row r="199" customFormat="false" ht="79.85" hidden="false" customHeight="false" outlineLevel="0" collapsed="false">
      <c r="A199" s="2" t="s">
        <v>683</v>
      </c>
      <c r="B199" s="2" t="s">
        <v>65</v>
      </c>
      <c r="C199" s="2" t="s">
        <v>1295</v>
      </c>
      <c r="D199" s="2" t="s">
        <v>539</v>
      </c>
      <c r="E199" s="2" t="s">
        <v>67</v>
      </c>
      <c r="F199" s="2" t="s">
        <v>1353</v>
      </c>
      <c r="G199" s="2" t="s">
        <v>1354</v>
      </c>
      <c r="H199" s="2" t="s">
        <v>1355</v>
      </c>
      <c r="I199" s="2" t="s">
        <v>24</v>
      </c>
      <c r="J199" s="2" t="s">
        <v>840</v>
      </c>
      <c r="K199" s="2" t="s">
        <v>93</v>
      </c>
      <c r="L199" s="2" t="s">
        <v>1356</v>
      </c>
      <c r="M199" s="2" t="s">
        <v>121</v>
      </c>
      <c r="N199" s="2" t="s">
        <v>1357</v>
      </c>
      <c r="O199" s="2" t="s">
        <v>29</v>
      </c>
      <c r="P199" s="2" t="s">
        <v>1358</v>
      </c>
    </row>
    <row r="200" customFormat="false" ht="57.45" hidden="false" customHeight="false" outlineLevel="0" collapsed="false">
      <c r="A200" s="2" t="s">
        <v>683</v>
      </c>
      <c r="B200" s="2" t="s">
        <v>17</v>
      </c>
      <c r="C200" s="2" t="s">
        <v>1359</v>
      </c>
      <c r="D200" s="2" t="s">
        <v>539</v>
      </c>
      <c r="E200" s="2" t="s">
        <v>67</v>
      </c>
      <c r="F200" s="2" t="s">
        <v>1360</v>
      </c>
      <c r="G200" s="2" t="s">
        <v>1361</v>
      </c>
      <c r="H200" s="2" t="s">
        <v>1362</v>
      </c>
      <c r="I200" s="2" t="s">
        <v>460</v>
      </c>
      <c r="J200" s="2" t="s">
        <v>118</v>
      </c>
      <c r="K200" s="2" t="s">
        <v>93</v>
      </c>
      <c r="L200" s="2" t="s">
        <v>1235</v>
      </c>
      <c r="M200" s="2" t="s">
        <v>121</v>
      </c>
      <c r="N200" s="2" t="s">
        <v>1363</v>
      </c>
      <c r="O200" s="2" t="s">
        <v>29</v>
      </c>
      <c r="P200" s="2" t="s">
        <v>1364</v>
      </c>
    </row>
    <row r="201" customFormat="false" ht="68.65" hidden="false" customHeight="false" outlineLevel="0" collapsed="false">
      <c r="A201" s="2" t="s">
        <v>683</v>
      </c>
      <c r="B201" s="2" t="s">
        <v>17</v>
      </c>
      <c r="C201" s="2" t="s">
        <v>1365</v>
      </c>
      <c r="D201" s="2" t="s">
        <v>539</v>
      </c>
      <c r="E201" s="2" t="s">
        <v>20</v>
      </c>
      <c r="F201" s="2" t="s">
        <v>1366</v>
      </c>
      <c r="G201" s="2" t="s">
        <v>1367</v>
      </c>
      <c r="H201" s="2" t="s">
        <v>1368</v>
      </c>
      <c r="I201" s="2" t="s">
        <v>1369</v>
      </c>
      <c r="J201" s="2" t="s">
        <v>44</v>
      </c>
      <c r="K201" s="2" t="s">
        <v>1370</v>
      </c>
      <c r="L201" s="2" t="s">
        <v>1371</v>
      </c>
      <c r="M201" s="2" t="s">
        <v>27</v>
      </c>
      <c r="N201" s="2" t="s">
        <v>1372</v>
      </c>
      <c r="O201" s="2" t="s">
        <v>29</v>
      </c>
      <c r="P201" s="2" t="s">
        <v>1373</v>
      </c>
    </row>
    <row r="202" customFormat="false" ht="57.45" hidden="false" customHeight="false" outlineLevel="0" collapsed="false">
      <c r="A202" s="2" t="s">
        <v>683</v>
      </c>
      <c r="B202" s="2" t="s">
        <v>17</v>
      </c>
      <c r="C202" s="2" t="s">
        <v>1374</v>
      </c>
      <c r="D202" s="2" t="s">
        <v>539</v>
      </c>
      <c r="E202" s="2" t="s">
        <v>20</v>
      </c>
      <c r="F202" s="2" t="s">
        <v>1375</v>
      </c>
      <c r="G202" s="2" t="s">
        <v>1376</v>
      </c>
      <c r="H202" s="2" t="s">
        <v>609</v>
      </c>
      <c r="I202" s="2" t="s">
        <v>36</v>
      </c>
      <c r="J202" s="2" t="s">
        <v>44</v>
      </c>
      <c r="K202" s="2" t="s">
        <v>1377</v>
      </c>
      <c r="L202" s="2" t="s">
        <v>242</v>
      </c>
      <c r="M202" s="2" t="s">
        <v>46</v>
      </c>
      <c r="N202" s="2" t="s">
        <v>1378</v>
      </c>
      <c r="O202" s="2" t="s">
        <v>29</v>
      </c>
      <c r="P202" s="2" t="s">
        <v>1379</v>
      </c>
    </row>
    <row r="203" customFormat="false" ht="57.45" hidden="false" customHeight="false" outlineLevel="0" collapsed="false">
      <c r="A203" s="2" t="s">
        <v>683</v>
      </c>
      <c r="B203" s="2" t="s">
        <v>65</v>
      </c>
      <c r="C203" s="2" t="s">
        <v>1380</v>
      </c>
      <c r="D203" s="2" t="s">
        <v>539</v>
      </c>
      <c r="E203" s="2" t="s">
        <v>67</v>
      </c>
      <c r="F203" s="2" t="s">
        <v>1381</v>
      </c>
      <c r="G203" s="2" t="s">
        <v>1382</v>
      </c>
      <c r="H203" s="2" t="s">
        <v>678</v>
      </c>
      <c r="I203" s="2" t="s">
        <v>226</v>
      </c>
      <c r="J203" s="2" t="s">
        <v>118</v>
      </c>
      <c r="K203" s="2" t="s">
        <v>93</v>
      </c>
      <c r="L203" s="2" t="s">
        <v>1383</v>
      </c>
      <c r="M203" s="2" t="s">
        <v>27</v>
      </c>
      <c r="N203" s="2" t="s">
        <v>1384</v>
      </c>
      <c r="O203" s="2" t="s">
        <v>29</v>
      </c>
      <c r="P203" s="2" t="s">
        <v>1300</v>
      </c>
    </row>
    <row r="204" customFormat="false" ht="57.45" hidden="false" customHeight="false" outlineLevel="0" collapsed="false">
      <c r="A204" s="2" t="s">
        <v>683</v>
      </c>
      <c r="B204" s="2" t="s">
        <v>288</v>
      </c>
      <c r="C204" s="2" t="s">
        <v>1385</v>
      </c>
      <c r="D204" s="2" t="s">
        <v>539</v>
      </c>
      <c r="E204" s="2" t="s">
        <v>67</v>
      </c>
      <c r="F204" s="2" t="s">
        <v>1386</v>
      </c>
      <c r="G204" s="2" t="s">
        <v>1387</v>
      </c>
      <c r="H204" s="2" t="s">
        <v>678</v>
      </c>
      <c r="I204" s="2" t="s">
        <v>738</v>
      </c>
      <c r="J204" s="2" t="s">
        <v>840</v>
      </c>
      <c r="K204" s="2" t="s">
        <v>93</v>
      </c>
      <c r="L204" s="2" t="s">
        <v>1211</v>
      </c>
      <c r="M204" s="2" t="s">
        <v>121</v>
      </c>
      <c r="N204" s="2" t="s">
        <v>1388</v>
      </c>
      <c r="O204" s="2" t="s">
        <v>29</v>
      </c>
      <c r="P204" s="2" t="s">
        <v>1389</v>
      </c>
    </row>
    <row r="205" customFormat="false" ht="147" hidden="false" customHeight="false" outlineLevel="0" collapsed="false">
      <c r="A205" s="3" t="s">
        <v>683</v>
      </c>
      <c r="B205" s="3" t="s">
        <v>17</v>
      </c>
      <c r="C205" s="3" t="s">
        <v>1390</v>
      </c>
      <c r="D205" s="3" t="s">
        <v>539</v>
      </c>
      <c r="E205" s="3" t="s">
        <v>67</v>
      </c>
      <c r="F205" s="3" t="s">
        <v>1391</v>
      </c>
      <c r="G205" s="3" t="s">
        <v>1392</v>
      </c>
      <c r="H205" s="3" t="s">
        <v>240</v>
      </c>
      <c r="I205" s="3" t="s">
        <v>36</v>
      </c>
      <c r="J205" s="3" t="s">
        <v>44</v>
      </c>
      <c r="K205" s="3"/>
      <c r="L205" s="3" t="s">
        <v>1319</v>
      </c>
      <c r="M205" s="3" t="s">
        <v>243</v>
      </c>
      <c r="N205" s="3" t="s">
        <v>1320</v>
      </c>
      <c r="O205" s="3" t="s">
        <v>183</v>
      </c>
      <c r="P205" s="3" t="s">
        <v>1393</v>
      </c>
    </row>
    <row r="206" customFormat="false" ht="57.45" hidden="false" customHeight="false" outlineLevel="0" collapsed="false">
      <c r="A206" s="2" t="s">
        <v>683</v>
      </c>
      <c r="B206" s="2" t="s">
        <v>17</v>
      </c>
      <c r="C206" s="2" t="s">
        <v>1394</v>
      </c>
      <c r="D206" s="2" t="s">
        <v>539</v>
      </c>
      <c r="E206" s="2" t="s">
        <v>67</v>
      </c>
      <c r="F206" s="2" t="s">
        <v>1395</v>
      </c>
      <c r="G206" s="2" t="s">
        <v>1396</v>
      </c>
      <c r="H206" s="2" t="s">
        <v>1397</v>
      </c>
      <c r="I206" s="2" t="s">
        <v>1398</v>
      </c>
      <c r="J206" s="2" t="s">
        <v>44</v>
      </c>
      <c r="K206" s="2" t="s">
        <v>1399</v>
      </c>
      <c r="L206" s="2" t="s">
        <v>242</v>
      </c>
      <c r="M206" s="2" t="s">
        <v>46</v>
      </c>
      <c r="N206" s="2" t="s">
        <v>1400</v>
      </c>
      <c r="O206" s="2" t="s">
        <v>29</v>
      </c>
      <c r="P206" s="2" t="s">
        <v>1401</v>
      </c>
    </row>
    <row r="207" customFormat="false" ht="68.65" hidden="false" customHeight="false" outlineLevel="0" collapsed="false">
      <c r="A207" s="2" t="s">
        <v>683</v>
      </c>
      <c r="B207" s="2" t="s">
        <v>17</v>
      </c>
      <c r="C207" s="2" t="s">
        <v>1402</v>
      </c>
      <c r="D207" s="2" t="s">
        <v>539</v>
      </c>
      <c r="E207" s="2" t="s">
        <v>67</v>
      </c>
      <c r="F207" s="2" t="s">
        <v>1403</v>
      </c>
      <c r="G207" s="2" t="s">
        <v>1404</v>
      </c>
      <c r="H207" s="2" t="s">
        <v>1355</v>
      </c>
      <c r="I207" s="2" t="s">
        <v>405</v>
      </c>
      <c r="J207" s="2" t="s">
        <v>840</v>
      </c>
      <c r="K207" s="2" t="s">
        <v>93</v>
      </c>
      <c r="L207" s="2" t="s">
        <v>1235</v>
      </c>
      <c r="M207" s="2" t="s">
        <v>121</v>
      </c>
      <c r="N207" s="2" t="s">
        <v>1405</v>
      </c>
      <c r="O207" s="2" t="s">
        <v>29</v>
      </c>
      <c r="P207" s="2" t="s">
        <v>1406</v>
      </c>
    </row>
    <row r="208" customFormat="false" ht="79.85" hidden="false" customHeight="false" outlineLevel="0" collapsed="false">
      <c r="A208" s="2" t="s">
        <v>683</v>
      </c>
      <c r="B208" s="2" t="s">
        <v>17</v>
      </c>
      <c r="C208" s="2" t="s">
        <v>1407</v>
      </c>
      <c r="D208" s="2" t="s">
        <v>539</v>
      </c>
      <c r="E208" s="2" t="s">
        <v>593</v>
      </c>
      <c r="F208" s="2" t="s">
        <v>1408</v>
      </c>
      <c r="G208" s="2" t="s">
        <v>1409</v>
      </c>
      <c r="H208" s="2" t="s">
        <v>1287</v>
      </c>
      <c r="I208" s="2" t="s">
        <v>24</v>
      </c>
      <c r="J208" s="2" t="s">
        <v>840</v>
      </c>
      <c r="K208" s="2" t="s">
        <v>93</v>
      </c>
      <c r="L208" s="2" t="s">
        <v>1410</v>
      </c>
      <c r="M208" s="2" t="s">
        <v>27</v>
      </c>
      <c r="N208" s="2" t="s">
        <v>1411</v>
      </c>
      <c r="O208" s="2" t="s">
        <v>29</v>
      </c>
      <c r="P208" s="2" t="s">
        <v>1412</v>
      </c>
    </row>
    <row r="209" customFormat="false" ht="57.45" hidden="false" customHeight="false" outlineLevel="0" collapsed="false">
      <c r="A209" s="2" t="s">
        <v>683</v>
      </c>
      <c r="B209" s="2" t="s">
        <v>65</v>
      </c>
      <c r="C209" s="2" t="s">
        <v>1413</v>
      </c>
      <c r="D209" s="2" t="s">
        <v>539</v>
      </c>
      <c r="E209" s="2" t="s">
        <v>20</v>
      </c>
      <c r="F209" s="2" t="s">
        <v>1414</v>
      </c>
      <c r="G209" s="2" t="s">
        <v>1415</v>
      </c>
      <c r="H209" s="2" t="s">
        <v>1228</v>
      </c>
      <c r="I209" s="2" t="s">
        <v>1416</v>
      </c>
      <c r="J209" s="2" t="s">
        <v>44</v>
      </c>
      <c r="K209" s="2" t="s">
        <v>1417</v>
      </c>
      <c r="L209" s="2" t="s">
        <v>740</v>
      </c>
      <c r="M209" s="2" t="s">
        <v>46</v>
      </c>
      <c r="N209" s="2" t="s">
        <v>1418</v>
      </c>
      <c r="O209" s="2" t="s">
        <v>29</v>
      </c>
      <c r="P209" s="2" t="s">
        <v>1419</v>
      </c>
    </row>
    <row r="210" customFormat="false" ht="57.45" hidden="false" customHeight="false" outlineLevel="0" collapsed="false">
      <c r="A210" s="2" t="s">
        <v>683</v>
      </c>
      <c r="B210" s="2" t="s">
        <v>17</v>
      </c>
      <c r="C210" s="2" t="s">
        <v>1420</v>
      </c>
      <c r="D210" s="2" t="s">
        <v>539</v>
      </c>
      <c r="E210" s="2" t="s">
        <v>67</v>
      </c>
      <c r="F210" s="2" t="s">
        <v>1421</v>
      </c>
      <c r="G210" s="2" t="s">
        <v>1422</v>
      </c>
      <c r="H210" s="2" t="s">
        <v>609</v>
      </c>
      <c r="I210" s="2" t="s">
        <v>1056</v>
      </c>
      <c r="J210" s="2" t="s">
        <v>44</v>
      </c>
      <c r="K210" s="2" t="s">
        <v>1423</v>
      </c>
      <c r="L210" s="2" t="s">
        <v>242</v>
      </c>
      <c r="M210" s="2" t="s">
        <v>46</v>
      </c>
      <c r="N210" s="2" t="s">
        <v>1424</v>
      </c>
      <c r="O210" s="2" t="s">
        <v>29</v>
      </c>
      <c r="P210" s="2" t="s">
        <v>1425</v>
      </c>
    </row>
    <row r="211" customFormat="false" ht="46.25" hidden="false" customHeight="false" outlineLevel="0" collapsed="false">
      <c r="A211" s="2" t="s">
        <v>683</v>
      </c>
      <c r="B211" s="2" t="s">
        <v>17</v>
      </c>
      <c r="C211" s="2" t="s">
        <v>1426</v>
      </c>
      <c r="D211" s="2" t="s">
        <v>539</v>
      </c>
      <c r="E211" s="2" t="s">
        <v>593</v>
      </c>
      <c r="F211" s="2" t="s">
        <v>1427</v>
      </c>
      <c r="G211" s="2" t="s">
        <v>1428</v>
      </c>
      <c r="H211" s="2" t="s">
        <v>609</v>
      </c>
      <c r="I211" s="2" t="s">
        <v>36</v>
      </c>
      <c r="J211" s="2" t="s">
        <v>44</v>
      </c>
      <c r="K211" s="2" t="s">
        <v>1429</v>
      </c>
      <c r="L211" s="2" t="s">
        <v>1262</v>
      </c>
      <c r="M211" s="2" t="s">
        <v>46</v>
      </c>
      <c r="N211" s="2" t="s">
        <v>1430</v>
      </c>
      <c r="O211" s="2" t="s">
        <v>29</v>
      </c>
      <c r="P211" s="2" t="s">
        <v>1431</v>
      </c>
    </row>
    <row r="212" customFormat="false" ht="57.45" hidden="false" customHeight="false" outlineLevel="0" collapsed="false">
      <c r="A212" s="2" t="s">
        <v>683</v>
      </c>
      <c r="B212" s="2" t="s">
        <v>17</v>
      </c>
      <c r="C212" s="2" t="s">
        <v>1432</v>
      </c>
      <c r="D212" s="2" t="s">
        <v>539</v>
      </c>
      <c r="E212" s="2" t="s">
        <v>20</v>
      </c>
      <c r="F212" s="2" t="s">
        <v>1433</v>
      </c>
      <c r="G212" s="2" t="s">
        <v>1434</v>
      </c>
      <c r="H212" s="2" t="s">
        <v>609</v>
      </c>
      <c r="I212" s="2" t="s">
        <v>1435</v>
      </c>
      <c r="J212" s="2" t="s">
        <v>25</v>
      </c>
      <c r="K212" s="2" t="s">
        <v>1436</v>
      </c>
      <c r="L212" s="2" t="s">
        <v>1437</v>
      </c>
      <c r="M212" s="2" t="s">
        <v>27</v>
      </c>
      <c r="N212" s="2" t="s">
        <v>1438</v>
      </c>
      <c r="O212" s="2" t="s">
        <v>29</v>
      </c>
      <c r="P212" s="2" t="s">
        <v>1439</v>
      </c>
    </row>
    <row r="213" customFormat="false" ht="79.85" hidden="false" customHeight="false" outlineLevel="0" collapsed="false">
      <c r="A213" s="2" t="s">
        <v>683</v>
      </c>
      <c r="B213" s="2" t="s">
        <v>17</v>
      </c>
      <c r="C213" s="2" t="s">
        <v>1440</v>
      </c>
      <c r="D213" s="2" t="s">
        <v>539</v>
      </c>
      <c r="E213" s="2" t="s">
        <v>67</v>
      </c>
      <c r="F213" s="2" t="s">
        <v>1441</v>
      </c>
      <c r="G213" s="2" t="s">
        <v>1442</v>
      </c>
      <c r="H213" s="2" t="s">
        <v>678</v>
      </c>
      <c r="I213" s="2" t="s">
        <v>405</v>
      </c>
      <c r="J213" s="2" t="s">
        <v>840</v>
      </c>
      <c r="K213" s="2" t="s">
        <v>93</v>
      </c>
      <c r="L213" s="2" t="s">
        <v>1211</v>
      </c>
      <c r="M213" s="2" t="s">
        <v>121</v>
      </c>
      <c r="N213" s="2" t="s">
        <v>1443</v>
      </c>
      <c r="O213" s="2" t="s">
        <v>29</v>
      </c>
      <c r="P213" s="2" t="s">
        <v>1444</v>
      </c>
    </row>
    <row r="214" customFormat="false" ht="91" hidden="false" customHeight="false" outlineLevel="0" collapsed="false">
      <c r="A214" s="2" t="s">
        <v>683</v>
      </c>
      <c r="B214" s="2" t="s">
        <v>17</v>
      </c>
      <c r="C214" s="2" t="s">
        <v>1445</v>
      </c>
      <c r="D214" s="2" t="s">
        <v>539</v>
      </c>
      <c r="E214" s="2" t="s">
        <v>20</v>
      </c>
      <c r="F214" s="2" t="s">
        <v>1446</v>
      </c>
      <c r="G214" s="2" t="s">
        <v>1447</v>
      </c>
      <c r="H214" s="2" t="s">
        <v>1228</v>
      </c>
      <c r="I214" s="2" t="s">
        <v>24</v>
      </c>
      <c r="J214" s="2" t="s">
        <v>44</v>
      </c>
      <c r="K214" s="2" t="s">
        <v>1448</v>
      </c>
      <c r="L214" s="2" t="s">
        <v>1449</v>
      </c>
      <c r="M214" s="2" t="s">
        <v>46</v>
      </c>
      <c r="N214" s="2" t="s">
        <v>1450</v>
      </c>
      <c r="O214" s="2" t="s">
        <v>29</v>
      </c>
      <c r="P214" s="2" t="s">
        <v>1451</v>
      </c>
    </row>
    <row r="215" customFormat="false" ht="68.65" hidden="false" customHeight="false" outlineLevel="0" collapsed="false">
      <c r="A215" s="2" t="s">
        <v>683</v>
      </c>
      <c r="B215" s="2" t="s">
        <v>65</v>
      </c>
      <c r="C215" s="2" t="s">
        <v>1452</v>
      </c>
      <c r="D215" s="2" t="s">
        <v>539</v>
      </c>
      <c r="E215" s="2" t="s">
        <v>67</v>
      </c>
      <c r="F215" s="2" t="s">
        <v>1453</v>
      </c>
      <c r="G215" s="2" t="s">
        <v>1454</v>
      </c>
      <c r="H215" s="2" t="s">
        <v>240</v>
      </c>
      <c r="I215" s="2" t="s">
        <v>226</v>
      </c>
      <c r="J215" s="2" t="s">
        <v>44</v>
      </c>
      <c r="K215" s="2"/>
      <c r="L215" s="2" t="s">
        <v>1455</v>
      </c>
      <c r="M215" s="2" t="s">
        <v>27</v>
      </c>
      <c r="N215" s="2" t="s">
        <v>1456</v>
      </c>
      <c r="O215" s="2" t="s">
        <v>29</v>
      </c>
      <c r="P215" s="2" t="s">
        <v>1457</v>
      </c>
    </row>
    <row r="216" customFormat="false" ht="46.25" hidden="false" customHeight="false" outlineLevel="0" collapsed="false">
      <c r="A216" s="2" t="s">
        <v>683</v>
      </c>
      <c r="B216" s="2" t="s">
        <v>65</v>
      </c>
      <c r="C216" s="2" t="s">
        <v>1458</v>
      </c>
      <c r="D216" s="2" t="s">
        <v>539</v>
      </c>
      <c r="E216" s="2" t="s">
        <v>67</v>
      </c>
      <c r="F216" s="2" t="s">
        <v>1459</v>
      </c>
      <c r="G216" s="2" t="s">
        <v>1460</v>
      </c>
      <c r="H216" s="2" t="s">
        <v>609</v>
      </c>
      <c r="I216" s="2" t="s">
        <v>1461</v>
      </c>
      <c r="J216" s="2" t="s">
        <v>25</v>
      </c>
      <c r="K216" s="2" t="s">
        <v>1462</v>
      </c>
      <c r="L216" s="2" t="s">
        <v>598</v>
      </c>
      <c r="M216" s="2" t="s">
        <v>46</v>
      </c>
      <c r="N216" s="2" t="s">
        <v>1463</v>
      </c>
      <c r="O216" s="2" t="s">
        <v>29</v>
      </c>
      <c r="P216" s="2" t="s">
        <v>1464</v>
      </c>
    </row>
    <row r="217" customFormat="false" ht="68.65" hidden="false" customHeight="false" outlineLevel="0" collapsed="false">
      <c r="A217" s="2" t="s">
        <v>683</v>
      </c>
      <c r="B217" s="2" t="s">
        <v>17</v>
      </c>
      <c r="C217" s="2" t="s">
        <v>1465</v>
      </c>
      <c r="D217" s="2" t="s">
        <v>539</v>
      </c>
      <c r="E217" s="2" t="s">
        <v>67</v>
      </c>
      <c r="F217" s="2" t="s">
        <v>1466</v>
      </c>
      <c r="G217" s="2" t="s">
        <v>1467</v>
      </c>
      <c r="H217" s="2" t="s">
        <v>240</v>
      </c>
      <c r="I217" s="2" t="s">
        <v>534</v>
      </c>
      <c r="J217" s="2" t="s">
        <v>44</v>
      </c>
      <c r="K217" s="2" t="s">
        <v>93</v>
      </c>
      <c r="L217" s="2" t="s">
        <v>1468</v>
      </c>
      <c r="M217" s="2" t="s">
        <v>243</v>
      </c>
      <c r="N217" s="2" t="s">
        <v>1469</v>
      </c>
      <c r="O217" s="2" t="s">
        <v>29</v>
      </c>
      <c r="P217" s="2" t="s">
        <v>1470</v>
      </c>
    </row>
    <row r="218" customFormat="false" ht="57.45" hidden="false" customHeight="false" outlineLevel="0" collapsed="false">
      <c r="A218" s="2" t="s">
        <v>683</v>
      </c>
      <c r="B218" s="2" t="s">
        <v>288</v>
      </c>
      <c r="C218" s="2" t="s">
        <v>1471</v>
      </c>
      <c r="D218" s="2" t="s">
        <v>539</v>
      </c>
      <c r="E218" s="2" t="s">
        <v>20</v>
      </c>
      <c r="F218" s="2" t="s">
        <v>1472</v>
      </c>
      <c r="G218" s="2" t="s">
        <v>1473</v>
      </c>
      <c r="H218" s="2" t="s">
        <v>609</v>
      </c>
      <c r="I218" s="2" t="s">
        <v>1474</v>
      </c>
      <c r="J218" s="2" t="s">
        <v>25</v>
      </c>
      <c r="K218" s="2" t="s">
        <v>1475</v>
      </c>
      <c r="L218" s="2" t="s">
        <v>740</v>
      </c>
      <c r="M218" s="2" t="s">
        <v>46</v>
      </c>
      <c r="N218" s="2" t="s">
        <v>1476</v>
      </c>
      <c r="O218" s="2" t="s">
        <v>29</v>
      </c>
      <c r="P218" s="2" t="s">
        <v>1477</v>
      </c>
    </row>
    <row r="219" customFormat="false" ht="68.65" hidden="false" customHeight="false" outlineLevel="0" collapsed="false">
      <c r="A219" s="2" t="s">
        <v>683</v>
      </c>
      <c r="B219" s="2" t="s">
        <v>169</v>
      </c>
      <c r="C219" s="2" t="s">
        <v>1478</v>
      </c>
      <c r="D219" s="2" t="s">
        <v>539</v>
      </c>
      <c r="E219" s="2" t="s">
        <v>67</v>
      </c>
      <c r="F219" s="2" t="s">
        <v>1479</v>
      </c>
      <c r="G219" s="2" t="s">
        <v>1480</v>
      </c>
      <c r="H219" s="2" t="s">
        <v>240</v>
      </c>
      <c r="I219" s="2" t="s">
        <v>36</v>
      </c>
      <c r="J219" s="2" t="s">
        <v>25</v>
      </c>
      <c r="K219" s="2"/>
      <c r="L219" s="2" t="s">
        <v>1481</v>
      </c>
      <c r="M219" s="2" t="s">
        <v>27</v>
      </c>
      <c r="N219" s="2" t="s">
        <v>1482</v>
      </c>
      <c r="O219" s="2" t="s">
        <v>29</v>
      </c>
      <c r="P219" s="2" t="s">
        <v>1483</v>
      </c>
    </row>
    <row r="220" customFormat="false" ht="169.4" hidden="false" customHeight="false" outlineLevel="0" collapsed="false">
      <c r="A220" s="2" t="s">
        <v>683</v>
      </c>
      <c r="B220" s="2" t="s">
        <v>17</v>
      </c>
      <c r="C220" s="2" t="s">
        <v>1484</v>
      </c>
      <c r="D220" s="2" t="s">
        <v>539</v>
      </c>
      <c r="E220" s="2" t="s">
        <v>67</v>
      </c>
      <c r="F220" s="2" t="s">
        <v>1485</v>
      </c>
      <c r="G220" s="2" t="s">
        <v>1486</v>
      </c>
      <c r="H220" s="2" t="s">
        <v>240</v>
      </c>
      <c r="I220" s="2" t="s">
        <v>345</v>
      </c>
      <c r="J220" s="2" t="s">
        <v>44</v>
      </c>
      <c r="K220" s="2" t="s">
        <v>1275</v>
      </c>
      <c r="L220" s="2" t="s">
        <v>1487</v>
      </c>
      <c r="M220" s="2" t="s">
        <v>243</v>
      </c>
      <c r="N220" s="2" t="s">
        <v>1488</v>
      </c>
      <c r="O220" s="2" t="s">
        <v>29</v>
      </c>
      <c r="P220" s="2" t="s">
        <v>1489</v>
      </c>
    </row>
    <row r="221" customFormat="false" ht="57.45" hidden="false" customHeight="false" outlineLevel="0" collapsed="false">
      <c r="A221" s="2" t="s">
        <v>683</v>
      </c>
      <c r="B221" s="2" t="s">
        <v>17</v>
      </c>
      <c r="C221" s="2" t="s">
        <v>1490</v>
      </c>
      <c r="D221" s="2" t="s">
        <v>539</v>
      </c>
      <c r="E221" s="2" t="s">
        <v>593</v>
      </c>
      <c r="F221" s="2" t="s">
        <v>1491</v>
      </c>
      <c r="G221" s="2" t="s">
        <v>1492</v>
      </c>
      <c r="H221" s="2" t="s">
        <v>609</v>
      </c>
      <c r="I221" s="2" t="s">
        <v>1493</v>
      </c>
      <c r="J221" s="2" t="s">
        <v>44</v>
      </c>
      <c r="K221" s="2" t="s">
        <v>1275</v>
      </c>
      <c r="L221" s="2" t="s">
        <v>598</v>
      </c>
      <c r="M221" s="2" t="s">
        <v>46</v>
      </c>
      <c r="N221" s="2" t="s">
        <v>1494</v>
      </c>
      <c r="O221" s="2" t="s">
        <v>29</v>
      </c>
      <c r="P221" s="2" t="s">
        <v>1495</v>
      </c>
    </row>
    <row r="222" customFormat="false" ht="57.45" hidden="false" customHeight="false" outlineLevel="0" collapsed="false">
      <c r="A222" s="2" t="s">
        <v>683</v>
      </c>
      <c r="B222" s="2" t="s">
        <v>65</v>
      </c>
      <c r="C222" s="2" t="s">
        <v>1380</v>
      </c>
      <c r="D222" s="2" t="s">
        <v>539</v>
      </c>
      <c r="E222" s="2" t="s">
        <v>67</v>
      </c>
      <c r="F222" s="2" t="s">
        <v>1496</v>
      </c>
      <c r="G222" s="2" t="s">
        <v>1497</v>
      </c>
      <c r="H222" s="2" t="s">
        <v>1287</v>
      </c>
      <c r="I222" s="2" t="s">
        <v>345</v>
      </c>
      <c r="J222" s="2" t="s">
        <v>840</v>
      </c>
      <c r="K222" s="2" t="s">
        <v>93</v>
      </c>
      <c r="L222" s="2" t="s">
        <v>1498</v>
      </c>
      <c r="M222" s="2" t="s">
        <v>27</v>
      </c>
      <c r="N222" s="2" t="s">
        <v>1499</v>
      </c>
      <c r="O222" s="2" t="s">
        <v>29</v>
      </c>
      <c r="P222" s="2" t="s">
        <v>1300</v>
      </c>
    </row>
    <row r="223" customFormat="false" ht="68.65" hidden="false" customHeight="false" outlineLevel="0" collapsed="false">
      <c r="A223" s="2" t="s">
        <v>683</v>
      </c>
      <c r="B223" s="2" t="s">
        <v>288</v>
      </c>
      <c r="C223" s="2" t="s">
        <v>1500</v>
      </c>
      <c r="D223" s="2" t="s">
        <v>539</v>
      </c>
      <c r="E223" s="2" t="s">
        <v>593</v>
      </c>
      <c r="F223" s="2" t="s">
        <v>1501</v>
      </c>
      <c r="G223" s="2" t="s">
        <v>1502</v>
      </c>
      <c r="H223" s="2" t="s">
        <v>609</v>
      </c>
      <c r="I223" s="2" t="s">
        <v>1503</v>
      </c>
      <c r="J223" s="2" t="s">
        <v>25</v>
      </c>
      <c r="K223" s="2" t="s">
        <v>93</v>
      </c>
      <c r="L223" s="2" t="s">
        <v>598</v>
      </c>
      <c r="M223" s="2" t="s">
        <v>46</v>
      </c>
      <c r="N223" s="2" t="s">
        <v>1504</v>
      </c>
      <c r="O223" s="2" t="s">
        <v>29</v>
      </c>
      <c r="P223" s="2" t="s">
        <v>1505</v>
      </c>
    </row>
    <row r="224" customFormat="false" ht="57.45" hidden="false" customHeight="false" outlineLevel="0" collapsed="false">
      <c r="A224" s="2" t="s">
        <v>683</v>
      </c>
      <c r="B224" s="2" t="s">
        <v>31</v>
      </c>
      <c r="C224" s="2" t="s">
        <v>1506</v>
      </c>
      <c r="D224" s="2" t="s">
        <v>539</v>
      </c>
      <c r="E224" s="2" t="s">
        <v>593</v>
      </c>
      <c r="F224" s="2" t="s">
        <v>1507</v>
      </c>
      <c r="G224" s="2" t="s">
        <v>1508</v>
      </c>
      <c r="H224" s="2" t="s">
        <v>609</v>
      </c>
      <c r="I224" s="2" t="s">
        <v>1509</v>
      </c>
      <c r="J224" s="2" t="s">
        <v>44</v>
      </c>
      <c r="K224" s="2" t="s">
        <v>1275</v>
      </c>
      <c r="L224" s="2" t="s">
        <v>598</v>
      </c>
      <c r="M224" s="2" t="s">
        <v>46</v>
      </c>
      <c r="N224" s="2" t="s">
        <v>1510</v>
      </c>
      <c r="O224" s="2" t="s">
        <v>29</v>
      </c>
      <c r="P224" s="2" t="s">
        <v>1511</v>
      </c>
    </row>
    <row r="225" customFormat="false" ht="68.65" hidden="false" customHeight="false" outlineLevel="0" collapsed="false">
      <c r="A225" s="2" t="s">
        <v>683</v>
      </c>
      <c r="B225" s="2" t="s">
        <v>17</v>
      </c>
      <c r="C225" s="2" t="s">
        <v>1512</v>
      </c>
      <c r="D225" s="2" t="s">
        <v>539</v>
      </c>
      <c r="E225" s="2" t="s">
        <v>20</v>
      </c>
      <c r="F225" s="2" t="s">
        <v>1513</v>
      </c>
      <c r="G225" s="2" t="s">
        <v>1514</v>
      </c>
      <c r="H225" s="2" t="s">
        <v>1228</v>
      </c>
      <c r="I225" s="2" t="s">
        <v>1515</v>
      </c>
      <c r="J225" s="2" t="s">
        <v>44</v>
      </c>
      <c r="K225" s="2" t="s">
        <v>1516</v>
      </c>
      <c r="L225" s="2" t="s">
        <v>740</v>
      </c>
      <c r="M225" s="2" t="s">
        <v>46</v>
      </c>
      <c r="N225" s="2" t="s">
        <v>1517</v>
      </c>
      <c r="O225" s="2" t="s">
        <v>29</v>
      </c>
      <c r="P225" s="2" t="s">
        <v>1518</v>
      </c>
    </row>
    <row r="226" customFormat="false" ht="113.4" hidden="false" customHeight="false" outlineLevel="0" collapsed="false">
      <c r="A226" s="2" t="s">
        <v>683</v>
      </c>
      <c r="B226" s="2" t="s">
        <v>17</v>
      </c>
      <c r="C226" s="2" t="s">
        <v>1407</v>
      </c>
      <c r="D226" s="2" t="s">
        <v>539</v>
      </c>
      <c r="E226" s="2" t="s">
        <v>593</v>
      </c>
      <c r="F226" s="2" t="s">
        <v>1519</v>
      </c>
      <c r="G226" s="2" t="s">
        <v>1520</v>
      </c>
      <c r="H226" s="2" t="s">
        <v>1344</v>
      </c>
      <c r="I226" s="2" t="s">
        <v>233</v>
      </c>
      <c r="J226" s="2" t="s">
        <v>44</v>
      </c>
      <c r="K226" s="2" t="s">
        <v>1429</v>
      </c>
      <c r="L226" s="2" t="s">
        <v>1521</v>
      </c>
      <c r="M226" s="2" t="s">
        <v>27</v>
      </c>
      <c r="N226" s="2" t="s">
        <v>1522</v>
      </c>
      <c r="O226" s="2" t="s">
        <v>29</v>
      </c>
      <c r="P226" s="2" t="s">
        <v>1523</v>
      </c>
    </row>
    <row r="227" customFormat="false" ht="46.25" hidden="false" customHeight="false" outlineLevel="0" collapsed="false">
      <c r="A227" s="2" t="s">
        <v>683</v>
      </c>
      <c r="B227" s="2" t="s">
        <v>17</v>
      </c>
      <c r="C227" s="2" t="s">
        <v>1524</v>
      </c>
      <c r="D227" s="2" t="s">
        <v>539</v>
      </c>
      <c r="E227" s="2" t="s">
        <v>593</v>
      </c>
      <c r="F227" s="2" t="s">
        <v>1525</v>
      </c>
      <c r="G227" s="2" t="s">
        <v>1526</v>
      </c>
      <c r="H227" s="2" t="s">
        <v>1228</v>
      </c>
      <c r="I227" s="2" t="s">
        <v>1527</v>
      </c>
      <c r="J227" s="2" t="s">
        <v>44</v>
      </c>
      <c r="K227" s="2" t="s">
        <v>1261</v>
      </c>
      <c r="L227" s="2" t="s">
        <v>1262</v>
      </c>
      <c r="M227" s="2" t="s">
        <v>46</v>
      </c>
      <c r="N227" s="2" t="s">
        <v>1528</v>
      </c>
      <c r="O227" s="2" t="s">
        <v>29</v>
      </c>
      <c r="P227" s="2" t="s">
        <v>1529</v>
      </c>
    </row>
    <row r="228" customFormat="false" ht="57.45" hidden="false" customHeight="false" outlineLevel="0" collapsed="false">
      <c r="A228" s="2" t="s">
        <v>683</v>
      </c>
      <c r="B228" s="2" t="s">
        <v>17</v>
      </c>
      <c r="C228" s="2" t="s">
        <v>1530</v>
      </c>
      <c r="D228" s="2" t="s">
        <v>539</v>
      </c>
      <c r="E228" s="2" t="s">
        <v>67</v>
      </c>
      <c r="F228" s="2" t="s">
        <v>1531</v>
      </c>
      <c r="G228" s="2" t="s">
        <v>1532</v>
      </c>
      <c r="H228" s="2" t="s">
        <v>609</v>
      </c>
      <c r="I228" s="2" t="s">
        <v>1533</v>
      </c>
      <c r="J228" s="2" t="s">
        <v>44</v>
      </c>
      <c r="K228" s="2" t="s">
        <v>1534</v>
      </c>
      <c r="L228" s="2" t="s">
        <v>1262</v>
      </c>
      <c r="M228" s="2" t="s">
        <v>46</v>
      </c>
      <c r="N228" s="2" t="s">
        <v>1535</v>
      </c>
      <c r="O228" s="2" t="s">
        <v>29</v>
      </c>
      <c r="P228" s="2" t="s">
        <v>1536</v>
      </c>
    </row>
    <row r="229" customFormat="false" ht="57.45" hidden="false" customHeight="false" outlineLevel="0" collapsed="false">
      <c r="A229" s="2" t="s">
        <v>683</v>
      </c>
      <c r="B229" s="2" t="s">
        <v>17</v>
      </c>
      <c r="C229" s="2" t="s">
        <v>1537</v>
      </c>
      <c r="D229" s="2" t="s">
        <v>539</v>
      </c>
      <c r="E229" s="2" t="s">
        <v>20</v>
      </c>
      <c r="F229" s="2" t="s">
        <v>1538</v>
      </c>
      <c r="G229" s="2" t="s">
        <v>1539</v>
      </c>
      <c r="H229" s="2" t="s">
        <v>678</v>
      </c>
      <c r="I229" s="2" t="s">
        <v>233</v>
      </c>
      <c r="J229" s="2" t="s">
        <v>840</v>
      </c>
      <c r="K229" s="2" t="s">
        <v>1540</v>
      </c>
      <c r="L229" s="2" t="s">
        <v>1211</v>
      </c>
      <c r="M229" s="2" t="s">
        <v>121</v>
      </c>
      <c r="N229" s="2" t="s">
        <v>1541</v>
      </c>
      <c r="O229" s="2" t="s">
        <v>29</v>
      </c>
      <c r="P229" s="2" t="s">
        <v>1542</v>
      </c>
    </row>
    <row r="230" customFormat="false" ht="68.65" hidden="false" customHeight="false" outlineLevel="0" collapsed="false">
      <c r="A230" s="2" t="s">
        <v>683</v>
      </c>
      <c r="B230" s="2" t="s">
        <v>169</v>
      </c>
      <c r="C230" s="2" t="s">
        <v>1543</v>
      </c>
      <c r="D230" s="2" t="s">
        <v>539</v>
      </c>
      <c r="E230" s="2" t="s">
        <v>67</v>
      </c>
      <c r="F230" s="2" t="s">
        <v>1544</v>
      </c>
      <c r="G230" s="2" t="s">
        <v>1545</v>
      </c>
      <c r="H230" s="2" t="s">
        <v>240</v>
      </c>
      <c r="I230" s="2" t="s">
        <v>359</v>
      </c>
      <c r="J230" s="2" t="s">
        <v>44</v>
      </c>
      <c r="K230" s="2" t="s">
        <v>93</v>
      </c>
      <c r="L230" s="2" t="s">
        <v>1546</v>
      </c>
      <c r="M230" s="2" t="s">
        <v>27</v>
      </c>
      <c r="N230" s="2" t="s">
        <v>1547</v>
      </c>
      <c r="O230" s="2" t="s">
        <v>29</v>
      </c>
      <c r="P230" s="2" t="s">
        <v>1548</v>
      </c>
    </row>
    <row r="231" customFormat="false" ht="57.45" hidden="false" customHeight="false" outlineLevel="0" collapsed="false">
      <c r="A231" s="2" t="s">
        <v>683</v>
      </c>
      <c r="B231" s="2" t="s">
        <v>65</v>
      </c>
      <c r="C231" s="2" t="s">
        <v>1549</v>
      </c>
      <c r="D231" s="2" t="s">
        <v>539</v>
      </c>
      <c r="E231" s="2" t="s">
        <v>20</v>
      </c>
      <c r="F231" s="2" t="s">
        <v>1550</v>
      </c>
      <c r="G231" s="2" t="s">
        <v>1551</v>
      </c>
      <c r="H231" s="2" t="s">
        <v>240</v>
      </c>
      <c r="I231" s="2" t="s">
        <v>1552</v>
      </c>
      <c r="J231" s="2" t="s">
        <v>25</v>
      </c>
      <c r="K231" s="2" t="s">
        <v>1553</v>
      </c>
      <c r="L231" s="2" t="s">
        <v>242</v>
      </c>
      <c r="M231" s="2" t="s">
        <v>46</v>
      </c>
      <c r="N231" s="2" t="s">
        <v>1554</v>
      </c>
      <c r="O231" s="2" t="s">
        <v>29</v>
      </c>
      <c r="P231" s="2" t="s">
        <v>1555</v>
      </c>
    </row>
    <row r="232" customFormat="false" ht="135.8" hidden="false" customHeight="false" outlineLevel="0" collapsed="false">
      <c r="A232" s="2" t="s">
        <v>683</v>
      </c>
      <c r="B232" s="2" t="s">
        <v>17</v>
      </c>
      <c r="C232" s="2" t="s">
        <v>1556</v>
      </c>
      <c r="D232" s="2" t="s">
        <v>539</v>
      </c>
      <c r="E232" s="2" t="s">
        <v>67</v>
      </c>
      <c r="F232" s="2" t="s">
        <v>1557</v>
      </c>
      <c r="G232" s="2" t="s">
        <v>1558</v>
      </c>
      <c r="H232" s="2" t="s">
        <v>240</v>
      </c>
      <c r="I232" s="2" t="s">
        <v>345</v>
      </c>
      <c r="J232" s="2" t="s">
        <v>44</v>
      </c>
      <c r="K232" s="2"/>
      <c r="L232" s="2" t="s">
        <v>1487</v>
      </c>
      <c r="M232" s="2" t="s">
        <v>243</v>
      </c>
      <c r="N232" s="2" t="s">
        <v>1488</v>
      </c>
      <c r="O232" s="2" t="s">
        <v>29</v>
      </c>
      <c r="P232" s="2" t="s">
        <v>1559</v>
      </c>
    </row>
    <row r="233" customFormat="false" ht="124.6" hidden="false" customHeight="false" outlineLevel="0" collapsed="false">
      <c r="A233" s="2" t="s">
        <v>683</v>
      </c>
      <c r="B233" s="2" t="s">
        <v>17</v>
      </c>
      <c r="C233" s="2" t="s">
        <v>1560</v>
      </c>
      <c r="D233" s="2" t="s">
        <v>539</v>
      </c>
      <c r="E233" s="2" t="s">
        <v>67</v>
      </c>
      <c r="F233" s="2" t="s">
        <v>1561</v>
      </c>
      <c r="G233" s="2" t="s">
        <v>1562</v>
      </c>
      <c r="H233" s="2" t="s">
        <v>240</v>
      </c>
      <c r="I233" s="2" t="s">
        <v>345</v>
      </c>
      <c r="J233" s="2" t="s">
        <v>44</v>
      </c>
      <c r="K233" s="2"/>
      <c r="L233" s="2" t="s">
        <v>1487</v>
      </c>
      <c r="M233" s="2" t="s">
        <v>243</v>
      </c>
      <c r="N233" s="2" t="s">
        <v>1488</v>
      </c>
      <c r="O233" s="2" t="s">
        <v>29</v>
      </c>
      <c r="P233" s="2" t="s">
        <v>1563</v>
      </c>
    </row>
    <row r="234" customFormat="false" ht="91" hidden="false" customHeight="false" outlineLevel="0" collapsed="false">
      <c r="A234" s="2" t="s">
        <v>683</v>
      </c>
      <c r="B234" s="2" t="s">
        <v>17</v>
      </c>
      <c r="C234" s="2" t="s">
        <v>1284</v>
      </c>
      <c r="D234" s="2" t="s">
        <v>539</v>
      </c>
      <c r="E234" s="2" t="s">
        <v>67</v>
      </c>
      <c r="F234" s="2" t="s">
        <v>1564</v>
      </c>
      <c r="G234" s="2" t="s">
        <v>1565</v>
      </c>
      <c r="H234" s="2" t="s">
        <v>1287</v>
      </c>
      <c r="I234" s="2" t="s">
        <v>36</v>
      </c>
      <c r="J234" s="2" t="s">
        <v>840</v>
      </c>
      <c r="K234" s="2" t="s">
        <v>93</v>
      </c>
      <c r="L234" s="2" t="s">
        <v>1566</v>
      </c>
      <c r="M234" s="2" t="s">
        <v>27</v>
      </c>
      <c r="N234" s="2" t="s">
        <v>1567</v>
      </c>
      <c r="O234" s="2" t="s">
        <v>29</v>
      </c>
      <c r="P234" s="2" t="s">
        <v>1568</v>
      </c>
    </row>
    <row r="235" customFormat="false" ht="57.45" hidden="false" customHeight="false" outlineLevel="0" collapsed="false">
      <c r="A235" s="2" t="s">
        <v>683</v>
      </c>
      <c r="B235" s="2" t="s">
        <v>169</v>
      </c>
      <c r="C235" s="2" t="s">
        <v>1569</v>
      </c>
      <c r="D235" s="2" t="s">
        <v>539</v>
      </c>
      <c r="E235" s="2" t="s">
        <v>67</v>
      </c>
      <c r="F235" s="2" t="s">
        <v>1570</v>
      </c>
      <c r="G235" s="2" t="s">
        <v>1571</v>
      </c>
      <c r="H235" s="2" t="s">
        <v>1572</v>
      </c>
      <c r="I235" s="2" t="s">
        <v>738</v>
      </c>
      <c r="J235" s="2" t="s">
        <v>44</v>
      </c>
      <c r="K235" s="2" t="s">
        <v>1573</v>
      </c>
      <c r="L235" s="2" t="s">
        <v>1211</v>
      </c>
      <c r="M235" s="2" t="s">
        <v>121</v>
      </c>
      <c r="N235" s="2" t="s">
        <v>1574</v>
      </c>
      <c r="O235" s="2" t="s">
        <v>29</v>
      </c>
      <c r="P235" s="2" t="s">
        <v>1575</v>
      </c>
    </row>
    <row r="236" customFormat="false" ht="57.45" hidden="false" customHeight="false" outlineLevel="0" collapsed="false">
      <c r="A236" s="2" t="s">
        <v>683</v>
      </c>
      <c r="B236" s="2" t="s">
        <v>31</v>
      </c>
      <c r="C236" s="2" t="s">
        <v>1576</v>
      </c>
      <c r="D236" s="2" t="s">
        <v>539</v>
      </c>
      <c r="E236" s="2" t="s">
        <v>593</v>
      </c>
      <c r="F236" s="2" t="s">
        <v>1577</v>
      </c>
      <c r="G236" s="2" t="s">
        <v>1578</v>
      </c>
      <c r="H236" s="2" t="s">
        <v>609</v>
      </c>
      <c r="I236" s="2" t="s">
        <v>969</v>
      </c>
      <c r="J236" s="2" t="s">
        <v>44</v>
      </c>
      <c r="K236" s="2" t="s">
        <v>1579</v>
      </c>
      <c r="L236" s="2" t="s">
        <v>598</v>
      </c>
      <c r="M236" s="2" t="s">
        <v>46</v>
      </c>
      <c r="N236" s="2" t="s">
        <v>1580</v>
      </c>
      <c r="O236" s="2" t="s">
        <v>29</v>
      </c>
      <c r="P236" s="2" t="s">
        <v>1581</v>
      </c>
    </row>
    <row r="237" customFormat="false" ht="35.05" hidden="false" customHeight="false" outlineLevel="0" collapsed="false">
      <c r="A237" s="2" t="s">
        <v>1582</v>
      </c>
      <c r="B237" s="2" t="s">
        <v>17</v>
      </c>
      <c r="C237" s="2" t="s">
        <v>88</v>
      </c>
      <c r="D237" s="2" t="s">
        <v>89</v>
      </c>
      <c r="E237" s="2"/>
      <c r="F237" s="2" t="s">
        <v>1583</v>
      </c>
      <c r="G237" s="2" t="s">
        <v>1584</v>
      </c>
      <c r="H237" s="2" t="s">
        <v>99</v>
      </c>
      <c r="I237" s="2" t="s">
        <v>226</v>
      </c>
      <c r="J237" s="2" t="s">
        <v>1585</v>
      </c>
      <c r="K237" s="2"/>
      <c r="L237" s="2" t="s">
        <v>1586</v>
      </c>
      <c r="M237" s="2" t="s">
        <v>27</v>
      </c>
      <c r="N237" s="2" t="s">
        <v>1587</v>
      </c>
      <c r="O237" s="2" t="s">
        <v>29</v>
      </c>
      <c r="P237" s="2" t="s">
        <v>1588</v>
      </c>
    </row>
    <row r="238" customFormat="false" ht="35.05" hidden="false" customHeight="false" outlineLevel="0" collapsed="false">
      <c r="A238" s="3" t="s">
        <v>1582</v>
      </c>
      <c r="B238" s="3" t="s">
        <v>17</v>
      </c>
      <c r="C238" s="3" t="s">
        <v>88</v>
      </c>
      <c r="D238" s="3" t="s">
        <v>89</v>
      </c>
      <c r="E238" s="3"/>
      <c r="F238" s="3" t="s">
        <v>1589</v>
      </c>
      <c r="G238" s="3" t="s">
        <v>1590</v>
      </c>
      <c r="H238" s="3" t="s">
        <v>99</v>
      </c>
      <c r="I238" s="3" t="s">
        <v>226</v>
      </c>
      <c r="J238" s="3" t="s">
        <v>1585</v>
      </c>
      <c r="K238" s="3"/>
      <c r="L238" s="3" t="s">
        <v>1591</v>
      </c>
      <c r="M238" s="3" t="s">
        <v>46</v>
      </c>
      <c r="N238" s="3" t="s">
        <v>1592</v>
      </c>
      <c r="O238" s="3" t="s">
        <v>183</v>
      </c>
      <c r="P238" s="3" t="s">
        <v>1588</v>
      </c>
    </row>
    <row r="239" customFormat="false" ht="35.05" hidden="false" customHeight="false" outlineLevel="0" collapsed="false">
      <c r="A239" s="2" t="s">
        <v>1582</v>
      </c>
      <c r="B239" s="2" t="s">
        <v>17</v>
      </c>
      <c r="C239" s="2" t="s">
        <v>1593</v>
      </c>
      <c r="D239" s="2" t="s">
        <v>193</v>
      </c>
      <c r="E239" s="2"/>
      <c r="F239" s="2" t="s">
        <v>1594</v>
      </c>
      <c r="G239" s="2" t="s">
        <v>1595</v>
      </c>
      <c r="H239" s="2" t="s">
        <v>212</v>
      </c>
      <c r="I239" s="2" t="s">
        <v>763</v>
      </c>
      <c r="J239" s="2" t="s">
        <v>1585</v>
      </c>
      <c r="K239" s="2"/>
      <c r="L239" s="2" t="s">
        <v>1596</v>
      </c>
      <c r="M239" s="2" t="s">
        <v>27</v>
      </c>
      <c r="N239" s="2" t="s">
        <v>1597</v>
      </c>
      <c r="O239" s="2" t="s">
        <v>29</v>
      </c>
      <c r="P239" s="2" t="s">
        <v>1598</v>
      </c>
    </row>
    <row r="240" customFormat="false" ht="46.25" hidden="false" customHeight="false" outlineLevel="0" collapsed="false">
      <c r="A240" s="2" t="s">
        <v>1582</v>
      </c>
      <c r="B240" s="2" t="s">
        <v>31</v>
      </c>
      <c r="C240" s="2" t="s">
        <v>1599</v>
      </c>
      <c r="D240" s="2" t="s">
        <v>193</v>
      </c>
      <c r="E240" s="2"/>
      <c r="F240" s="2" t="s">
        <v>1600</v>
      </c>
      <c r="G240" s="2" t="s">
        <v>1601</v>
      </c>
      <c r="H240" s="2" t="s">
        <v>1602</v>
      </c>
      <c r="I240" s="2" t="s">
        <v>596</v>
      </c>
      <c r="J240" s="2" t="s">
        <v>1585</v>
      </c>
      <c r="K240" s="2"/>
      <c r="L240" s="2" t="s">
        <v>1603</v>
      </c>
      <c r="M240" s="2" t="s">
        <v>243</v>
      </c>
      <c r="N240" s="2" t="s">
        <v>1604</v>
      </c>
      <c r="O240" s="2" t="s">
        <v>29</v>
      </c>
      <c r="P240" s="2" t="s">
        <v>1605</v>
      </c>
    </row>
    <row r="241" customFormat="false" ht="57.45" hidden="false" customHeight="false" outlineLevel="0" collapsed="false">
      <c r="A241" s="3" t="s">
        <v>1582</v>
      </c>
      <c r="B241" s="3" t="s">
        <v>17</v>
      </c>
      <c r="C241" s="3" t="s">
        <v>1606</v>
      </c>
      <c r="D241" s="3" t="s">
        <v>247</v>
      </c>
      <c r="E241" s="3"/>
      <c r="F241" s="3" t="s">
        <v>1607</v>
      </c>
      <c r="G241" s="3" t="s">
        <v>1608</v>
      </c>
      <c r="H241" s="3" t="s">
        <v>1602</v>
      </c>
      <c r="I241" s="3" t="s">
        <v>36</v>
      </c>
      <c r="J241" s="3" t="s">
        <v>1585</v>
      </c>
      <c r="K241" s="3"/>
      <c r="L241" s="3" t="s">
        <v>1609</v>
      </c>
      <c r="M241" s="3" t="s">
        <v>1610</v>
      </c>
      <c r="N241" s="3" t="s">
        <v>1611</v>
      </c>
      <c r="O241" s="3" t="s">
        <v>183</v>
      </c>
      <c r="P241" s="3" t="s">
        <v>1612</v>
      </c>
    </row>
    <row r="242" customFormat="false" ht="57.45" hidden="false" customHeight="false" outlineLevel="0" collapsed="false">
      <c r="A242" s="2" t="s">
        <v>1582</v>
      </c>
      <c r="B242" s="2" t="s">
        <v>17</v>
      </c>
      <c r="C242" s="2" t="s">
        <v>113</v>
      </c>
      <c r="D242" s="2" t="s">
        <v>247</v>
      </c>
      <c r="E242" s="2"/>
      <c r="F242" s="2" t="s">
        <v>1613</v>
      </c>
      <c r="G242" s="2" t="s">
        <v>1614</v>
      </c>
      <c r="H242" s="2" t="s">
        <v>116</v>
      </c>
      <c r="I242" s="2" t="s">
        <v>24</v>
      </c>
      <c r="J242" s="2" t="s">
        <v>1585</v>
      </c>
      <c r="K242" s="2"/>
      <c r="L242" s="2" t="s">
        <v>1615</v>
      </c>
      <c r="M242" s="2" t="s">
        <v>160</v>
      </c>
      <c r="N242" s="2" t="s">
        <v>1616</v>
      </c>
      <c r="O242" s="2" t="s">
        <v>29</v>
      </c>
      <c r="P242" s="2" t="s">
        <v>1617</v>
      </c>
    </row>
    <row r="243" customFormat="false" ht="68.65" hidden="false" customHeight="false" outlineLevel="0" collapsed="false">
      <c r="A243" s="2" t="s">
        <v>1582</v>
      </c>
      <c r="B243" s="2" t="s">
        <v>31</v>
      </c>
      <c r="C243" s="2" t="s">
        <v>1618</v>
      </c>
      <c r="D243" s="2" t="s">
        <v>320</v>
      </c>
      <c r="E243" s="2"/>
      <c r="F243" s="2" t="s">
        <v>1619</v>
      </c>
      <c r="G243" s="2" t="s">
        <v>1620</v>
      </c>
      <c r="H243" s="2" t="s">
        <v>1621</v>
      </c>
      <c r="I243" s="2" t="s">
        <v>1056</v>
      </c>
      <c r="J243" s="2" t="s">
        <v>1585</v>
      </c>
      <c r="K243" s="2"/>
      <c r="L243" s="2" t="s">
        <v>1622</v>
      </c>
      <c r="M243" s="2" t="s">
        <v>1623</v>
      </c>
      <c r="N243" s="2" t="s">
        <v>1624</v>
      </c>
      <c r="O243" s="2" t="s">
        <v>29</v>
      </c>
      <c r="P243" s="2" t="s">
        <v>1625</v>
      </c>
    </row>
    <row r="244" customFormat="false" ht="35.05" hidden="false" customHeight="false" outlineLevel="0" collapsed="false">
      <c r="A244" s="2" t="s">
        <v>1582</v>
      </c>
      <c r="B244" s="2" t="s">
        <v>17</v>
      </c>
      <c r="C244" s="2" t="s">
        <v>349</v>
      </c>
      <c r="D244" s="2" t="s">
        <v>320</v>
      </c>
      <c r="E244" s="2"/>
      <c r="F244" s="2" t="s">
        <v>1626</v>
      </c>
      <c r="G244" s="2" t="s">
        <v>1627</v>
      </c>
      <c r="H244" s="2" t="s">
        <v>983</v>
      </c>
      <c r="I244" s="2" t="s">
        <v>233</v>
      </c>
      <c r="J244" s="2" t="s">
        <v>1585</v>
      </c>
      <c r="K244" s="2" t="s">
        <v>1628</v>
      </c>
      <c r="L244" s="2" t="s">
        <v>1609</v>
      </c>
      <c r="M244" s="2" t="s">
        <v>1610</v>
      </c>
      <c r="N244" s="2" t="s">
        <v>1611</v>
      </c>
      <c r="O244" s="2" t="s">
        <v>29</v>
      </c>
      <c r="P244" s="2" t="s">
        <v>1629</v>
      </c>
    </row>
    <row r="245" customFormat="false" ht="68.65" hidden="false" customHeight="false" outlineLevel="0" collapsed="false">
      <c r="A245" s="2" t="s">
        <v>1582</v>
      </c>
      <c r="B245" s="2" t="s">
        <v>31</v>
      </c>
      <c r="C245" s="2" t="s">
        <v>1630</v>
      </c>
      <c r="D245" s="2" t="s">
        <v>320</v>
      </c>
      <c r="E245" s="2"/>
      <c r="F245" s="2" t="s">
        <v>1631</v>
      </c>
      <c r="G245" s="2" t="s">
        <v>1632</v>
      </c>
      <c r="H245" s="2" t="s">
        <v>1621</v>
      </c>
      <c r="I245" s="2" t="s">
        <v>460</v>
      </c>
      <c r="J245" s="2" t="s">
        <v>1585</v>
      </c>
      <c r="K245" s="2"/>
      <c r="L245" s="2" t="s">
        <v>1622</v>
      </c>
      <c r="M245" s="2" t="s">
        <v>1623</v>
      </c>
      <c r="N245" s="2" t="s">
        <v>1624</v>
      </c>
      <c r="O245" s="2" t="s">
        <v>29</v>
      </c>
      <c r="P245" s="2" t="s">
        <v>1625</v>
      </c>
    </row>
    <row r="246" customFormat="false" ht="46.25" hidden="false" customHeight="false" outlineLevel="0" collapsed="false">
      <c r="A246" s="2" t="s">
        <v>1582</v>
      </c>
      <c r="B246" s="2" t="s">
        <v>17</v>
      </c>
      <c r="C246" s="2" t="s">
        <v>1633</v>
      </c>
      <c r="D246" s="2" t="s">
        <v>320</v>
      </c>
      <c r="E246" s="2"/>
      <c r="F246" s="2" t="s">
        <v>1634</v>
      </c>
      <c r="G246" s="2" t="s">
        <v>1635</v>
      </c>
      <c r="H246" s="2" t="s">
        <v>1621</v>
      </c>
      <c r="I246" s="2" t="s">
        <v>24</v>
      </c>
      <c r="J246" s="2" t="s">
        <v>1585</v>
      </c>
      <c r="K246" s="2"/>
      <c r="L246" s="2" t="s">
        <v>1609</v>
      </c>
      <c r="M246" s="2" t="s">
        <v>1610</v>
      </c>
      <c r="N246" s="2" t="s">
        <v>1636</v>
      </c>
      <c r="O246" s="2" t="s">
        <v>29</v>
      </c>
      <c r="P246" s="2" t="s">
        <v>1629</v>
      </c>
    </row>
    <row r="247" customFormat="false" ht="68.65" hidden="false" customHeight="false" outlineLevel="0" collapsed="false">
      <c r="A247" s="2" t="s">
        <v>1582</v>
      </c>
      <c r="B247" s="2" t="s">
        <v>17</v>
      </c>
      <c r="C247" s="2" t="s">
        <v>1637</v>
      </c>
      <c r="D247" s="2" t="s">
        <v>320</v>
      </c>
      <c r="E247" s="2"/>
      <c r="F247" s="2" t="s">
        <v>1638</v>
      </c>
      <c r="G247" s="2" t="s">
        <v>1639</v>
      </c>
      <c r="H247" s="2" t="s">
        <v>1621</v>
      </c>
      <c r="I247" s="2" t="s">
        <v>345</v>
      </c>
      <c r="J247" s="2" t="s">
        <v>1585</v>
      </c>
      <c r="K247" s="2"/>
      <c r="L247" s="2" t="s">
        <v>1622</v>
      </c>
      <c r="M247" s="2" t="s">
        <v>1623</v>
      </c>
      <c r="N247" s="2" t="s">
        <v>1624</v>
      </c>
      <c r="O247" s="2" t="s">
        <v>29</v>
      </c>
      <c r="P247" s="2" t="s">
        <v>1640</v>
      </c>
    </row>
    <row r="248" customFormat="false" ht="57.45" hidden="false" customHeight="false" outlineLevel="0" collapsed="false">
      <c r="A248" s="3" t="s">
        <v>1582</v>
      </c>
      <c r="B248" s="3" t="s">
        <v>17</v>
      </c>
      <c r="C248" s="3" t="s">
        <v>1641</v>
      </c>
      <c r="D248" s="3" t="s">
        <v>320</v>
      </c>
      <c r="E248" s="3"/>
      <c r="F248" s="3" t="s">
        <v>1642</v>
      </c>
      <c r="G248" s="3" t="s">
        <v>1643</v>
      </c>
      <c r="H248" s="3" t="s">
        <v>364</v>
      </c>
      <c r="I248" s="3" t="s">
        <v>36</v>
      </c>
      <c r="J248" s="3" t="s">
        <v>1585</v>
      </c>
      <c r="K248" s="3"/>
      <c r="L248" s="3" t="s">
        <v>1644</v>
      </c>
      <c r="M248" s="3" t="s">
        <v>121</v>
      </c>
      <c r="N248" s="3" t="s">
        <v>1645</v>
      </c>
      <c r="O248" s="3" t="s">
        <v>183</v>
      </c>
      <c r="P248" s="3" t="s">
        <v>1646</v>
      </c>
    </row>
    <row r="249" customFormat="false" ht="46.25" hidden="false" customHeight="false" outlineLevel="0" collapsed="false">
      <c r="A249" s="2" t="s">
        <v>1582</v>
      </c>
      <c r="B249" s="2" t="s">
        <v>17</v>
      </c>
      <c r="C249" s="2" t="s">
        <v>1647</v>
      </c>
      <c r="D249" s="2" t="s">
        <v>320</v>
      </c>
      <c r="E249" s="2"/>
      <c r="F249" s="2" t="s">
        <v>1648</v>
      </c>
      <c r="G249" s="2" t="s">
        <v>1649</v>
      </c>
      <c r="H249" s="2" t="s">
        <v>1621</v>
      </c>
      <c r="I249" s="2" t="s">
        <v>24</v>
      </c>
      <c r="J249" s="2" t="s">
        <v>1585</v>
      </c>
      <c r="K249" s="2" t="s">
        <v>1650</v>
      </c>
      <c r="L249" s="2" t="s">
        <v>1609</v>
      </c>
      <c r="M249" s="2" t="s">
        <v>1610</v>
      </c>
      <c r="N249" s="2" t="s">
        <v>1636</v>
      </c>
      <c r="O249" s="2" t="s">
        <v>29</v>
      </c>
      <c r="P249" s="2" t="s">
        <v>1629</v>
      </c>
    </row>
    <row r="250" customFormat="false" ht="35.05" hidden="false" customHeight="false" outlineLevel="0" collapsed="false">
      <c r="A250" s="2" t="s">
        <v>1582</v>
      </c>
      <c r="B250" s="2" t="s">
        <v>17</v>
      </c>
      <c r="C250" s="2" t="s">
        <v>349</v>
      </c>
      <c r="D250" s="2" t="s">
        <v>320</v>
      </c>
      <c r="E250" s="2"/>
      <c r="F250" s="2" t="s">
        <v>1651</v>
      </c>
      <c r="G250" s="2" t="s">
        <v>1652</v>
      </c>
      <c r="H250" s="2" t="s">
        <v>983</v>
      </c>
      <c r="I250" s="2" t="s">
        <v>36</v>
      </c>
      <c r="J250" s="2" t="s">
        <v>1585</v>
      </c>
      <c r="K250" s="2"/>
      <c r="L250" s="2" t="s">
        <v>1615</v>
      </c>
      <c r="M250" s="2" t="s">
        <v>160</v>
      </c>
      <c r="N250" s="2" t="s">
        <v>1616</v>
      </c>
      <c r="O250" s="2" t="s">
        <v>29</v>
      </c>
      <c r="P250" s="2" t="s">
        <v>1629</v>
      </c>
    </row>
    <row r="251" customFormat="false" ht="57.45" hidden="false" customHeight="false" outlineLevel="0" collapsed="false">
      <c r="A251" s="2" t="s">
        <v>1582</v>
      </c>
      <c r="B251" s="2" t="s">
        <v>17</v>
      </c>
      <c r="C251" s="2" t="s">
        <v>349</v>
      </c>
      <c r="D251" s="2" t="s">
        <v>320</v>
      </c>
      <c r="E251" s="2"/>
      <c r="F251" s="2" t="s">
        <v>1653</v>
      </c>
      <c r="G251" s="2" t="s">
        <v>1654</v>
      </c>
      <c r="H251" s="2" t="s">
        <v>983</v>
      </c>
      <c r="I251" s="2" t="s">
        <v>866</v>
      </c>
      <c r="J251" s="2" t="s">
        <v>1585</v>
      </c>
      <c r="K251" s="2" t="s">
        <v>1655</v>
      </c>
      <c r="L251" s="2" t="s">
        <v>1656</v>
      </c>
      <c r="M251" s="2" t="s">
        <v>1657</v>
      </c>
      <c r="N251" s="2" t="s">
        <v>1658</v>
      </c>
      <c r="O251" s="2" t="s">
        <v>29</v>
      </c>
      <c r="P251" s="2" t="s">
        <v>1629</v>
      </c>
    </row>
    <row r="252" customFormat="false" ht="46.25" hidden="false" customHeight="false" outlineLevel="0" collapsed="false">
      <c r="A252" s="2" t="s">
        <v>1582</v>
      </c>
      <c r="B252" s="2" t="s">
        <v>65</v>
      </c>
      <c r="C252" s="2" t="s">
        <v>1659</v>
      </c>
      <c r="D252" s="2" t="s">
        <v>320</v>
      </c>
      <c r="E252" s="2"/>
      <c r="F252" s="2" t="s">
        <v>1660</v>
      </c>
      <c r="G252" s="2" t="s">
        <v>1661</v>
      </c>
      <c r="H252" s="2" t="s">
        <v>983</v>
      </c>
      <c r="I252" s="2" t="s">
        <v>1662</v>
      </c>
      <c r="J252" s="2" t="s">
        <v>1585</v>
      </c>
      <c r="K252" s="2"/>
      <c r="L252" s="2" t="s">
        <v>1609</v>
      </c>
      <c r="M252" s="2" t="s">
        <v>1610</v>
      </c>
      <c r="N252" s="2" t="s">
        <v>1611</v>
      </c>
      <c r="O252" s="2" t="s">
        <v>29</v>
      </c>
      <c r="P252" s="2" t="s">
        <v>1663</v>
      </c>
    </row>
    <row r="253" customFormat="false" ht="35.05" hidden="false" customHeight="false" outlineLevel="0" collapsed="false">
      <c r="A253" s="2" t="s">
        <v>1582</v>
      </c>
      <c r="B253" s="2" t="s">
        <v>31</v>
      </c>
      <c r="C253" s="2" t="s">
        <v>1664</v>
      </c>
      <c r="D253" s="2" t="s">
        <v>390</v>
      </c>
      <c r="E253" s="2"/>
      <c r="F253" s="2" t="s">
        <v>1665</v>
      </c>
      <c r="G253" s="2" t="s">
        <v>1666</v>
      </c>
      <c r="H253" s="2" t="s">
        <v>212</v>
      </c>
      <c r="I253" s="2" t="s">
        <v>226</v>
      </c>
      <c r="J253" s="2" t="s">
        <v>1585</v>
      </c>
      <c r="K253" s="2"/>
      <c r="L253" s="2" t="s">
        <v>1609</v>
      </c>
      <c r="M253" s="2" t="s">
        <v>1610</v>
      </c>
      <c r="N253" s="2" t="s">
        <v>1636</v>
      </c>
      <c r="O253" s="2" t="s">
        <v>29</v>
      </c>
      <c r="P253" s="2" t="s">
        <v>1667</v>
      </c>
    </row>
    <row r="254" customFormat="false" ht="57.45" hidden="false" customHeight="false" outlineLevel="0" collapsed="false">
      <c r="A254" s="3" t="s">
        <v>1582</v>
      </c>
      <c r="B254" s="3" t="s">
        <v>31</v>
      </c>
      <c r="C254" s="3" t="s">
        <v>1668</v>
      </c>
      <c r="D254" s="3" t="s">
        <v>390</v>
      </c>
      <c r="E254" s="3"/>
      <c r="F254" s="3" t="s">
        <v>1669</v>
      </c>
      <c r="G254" s="3" t="s">
        <v>1670</v>
      </c>
      <c r="H254" s="3" t="s">
        <v>212</v>
      </c>
      <c r="I254" s="3" t="s">
        <v>345</v>
      </c>
      <c r="J254" s="3" t="s">
        <v>1585</v>
      </c>
      <c r="K254" s="3"/>
      <c r="L254" s="3" t="s">
        <v>1671</v>
      </c>
      <c r="M254" s="3" t="s">
        <v>243</v>
      </c>
      <c r="N254" s="3" t="s">
        <v>1672</v>
      </c>
      <c r="O254" s="3" t="s">
        <v>183</v>
      </c>
      <c r="P254" s="3" t="s">
        <v>1673</v>
      </c>
    </row>
    <row r="255" customFormat="false" ht="35.05" hidden="false" customHeight="false" outlineLevel="0" collapsed="false">
      <c r="A255" s="3" t="s">
        <v>1582</v>
      </c>
      <c r="B255" s="3" t="s">
        <v>17</v>
      </c>
      <c r="C255" s="3" t="s">
        <v>1674</v>
      </c>
      <c r="D255" s="3" t="s">
        <v>539</v>
      </c>
      <c r="E255" s="3"/>
      <c r="F255" s="3" t="s">
        <v>1675</v>
      </c>
      <c r="G255" s="3" t="s">
        <v>1676</v>
      </c>
      <c r="H255" s="3" t="s">
        <v>240</v>
      </c>
      <c r="I255" s="3" t="s">
        <v>233</v>
      </c>
      <c r="J255" s="3" t="s">
        <v>1585</v>
      </c>
      <c r="K255" s="3" t="s">
        <v>1677</v>
      </c>
      <c r="L255" s="3" t="s">
        <v>1678</v>
      </c>
      <c r="M255" s="3" t="s">
        <v>121</v>
      </c>
      <c r="N255" s="3" t="s">
        <v>1679</v>
      </c>
      <c r="O255" s="3" t="s">
        <v>183</v>
      </c>
      <c r="P255" s="3" t="s">
        <v>1680</v>
      </c>
    </row>
    <row r="256" customFormat="false" ht="35.05" hidden="false" customHeight="false" outlineLevel="0" collapsed="false">
      <c r="A256" s="3" t="s">
        <v>1582</v>
      </c>
      <c r="B256" s="3" t="s">
        <v>65</v>
      </c>
      <c r="C256" s="3" t="s">
        <v>1681</v>
      </c>
      <c r="D256" s="3" t="s">
        <v>539</v>
      </c>
      <c r="E256" s="3"/>
      <c r="F256" s="3" t="s">
        <v>1682</v>
      </c>
      <c r="G256" s="3" t="s">
        <v>1683</v>
      </c>
      <c r="H256" s="3" t="s">
        <v>240</v>
      </c>
      <c r="I256" s="3" t="s">
        <v>1056</v>
      </c>
      <c r="J256" s="3" t="s">
        <v>1585</v>
      </c>
      <c r="K256" s="3"/>
      <c r="L256" s="3" t="s">
        <v>1684</v>
      </c>
      <c r="M256" s="3" t="s">
        <v>121</v>
      </c>
      <c r="N256" s="3" t="s">
        <v>1685</v>
      </c>
      <c r="O256" s="3" t="s">
        <v>183</v>
      </c>
      <c r="P256" s="3" t="s">
        <v>1686</v>
      </c>
    </row>
    <row r="257" customFormat="false" ht="35.05" hidden="false" customHeight="false" outlineLevel="0" collapsed="false">
      <c r="A257" s="3" t="s">
        <v>1582</v>
      </c>
      <c r="B257" s="3" t="s">
        <v>65</v>
      </c>
      <c r="C257" s="3" t="s">
        <v>1687</v>
      </c>
      <c r="D257" s="3" t="s">
        <v>539</v>
      </c>
      <c r="E257" s="3"/>
      <c r="F257" s="3" t="s">
        <v>1688</v>
      </c>
      <c r="G257" s="3" t="s">
        <v>1689</v>
      </c>
      <c r="H257" s="3" t="s">
        <v>240</v>
      </c>
      <c r="I257" s="3" t="s">
        <v>24</v>
      </c>
      <c r="J257" s="3" t="s">
        <v>1585</v>
      </c>
      <c r="K257" s="3"/>
      <c r="L257" s="3" t="s">
        <v>1684</v>
      </c>
      <c r="M257" s="3" t="s">
        <v>121</v>
      </c>
      <c r="N257" s="3" t="s">
        <v>1685</v>
      </c>
      <c r="O257" s="3" t="s">
        <v>183</v>
      </c>
      <c r="P257" s="3" t="s">
        <v>1686</v>
      </c>
    </row>
    <row r="258" customFormat="false" ht="35.05" hidden="false" customHeight="false" outlineLevel="0" collapsed="false">
      <c r="A258" s="3" t="s">
        <v>1582</v>
      </c>
      <c r="B258" s="3" t="s">
        <v>17</v>
      </c>
      <c r="C258" s="3" t="s">
        <v>1690</v>
      </c>
      <c r="D258" s="3" t="s">
        <v>539</v>
      </c>
      <c r="E258" s="3"/>
      <c r="F258" s="3" t="s">
        <v>1691</v>
      </c>
      <c r="G258" s="3" t="s">
        <v>1692</v>
      </c>
      <c r="H258" s="3" t="s">
        <v>240</v>
      </c>
      <c r="I258" s="3" t="s">
        <v>1693</v>
      </c>
      <c r="J258" s="3" t="s">
        <v>1585</v>
      </c>
      <c r="K258" s="3"/>
      <c r="L258" s="3" t="s">
        <v>1684</v>
      </c>
      <c r="M258" s="3" t="s">
        <v>121</v>
      </c>
      <c r="N258" s="3" t="s">
        <v>1685</v>
      </c>
      <c r="O258" s="3" t="s">
        <v>183</v>
      </c>
      <c r="P258" s="3" t="s">
        <v>1694</v>
      </c>
    </row>
    <row r="259" customFormat="false" ht="35.05" hidden="false" customHeight="false" outlineLevel="0" collapsed="false">
      <c r="A259" s="3" t="s">
        <v>1582</v>
      </c>
      <c r="B259" s="3" t="s">
        <v>17</v>
      </c>
      <c r="C259" s="3" t="s">
        <v>1695</v>
      </c>
      <c r="D259" s="3" t="s">
        <v>539</v>
      </c>
      <c r="E259" s="3"/>
      <c r="F259" s="3" t="s">
        <v>1696</v>
      </c>
      <c r="G259" s="3" t="s">
        <v>1697</v>
      </c>
      <c r="H259" s="3" t="s">
        <v>240</v>
      </c>
      <c r="I259" s="3" t="s">
        <v>520</v>
      </c>
      <c r="J259" s="3" t="s">
        <v>1585</v>
      </c>
      <c r="K259" s="3"/>
      <c r="L259" s="3" t="s">
        <v>1698</v>
      </c>
      <c r="M259" s="3" t="s">
        <v>243</v>
      </c>
      <c r="N259" s="3" t="s">
        <v>1699</v>
      </c>
      <c r="O259" s="3" t="s">
        <v>183</v>
      </c>
      <c r="P259" s="3" t="s">
        <v>1694</v>
      </c>
    </row>
    <row r="260" customFormat="false" ht="57.45" hidden="false" customHeight="false" outlineLevel="0" collapsed="false">
      <c r="A260" s="3" t="s">
        <v>1582</v>
      </c>
      <c r="B260" s="3" t="s">
        <v>17</v>
      </c>
      <c r="C260" s="3" t="s">
        <v>1700</v>
      </c>
      <c r="D260" s="3" t="s">
        <v>539</v>
      </c>
      <c r="E260" s="3"/>
      <c r="F260" s="3" t="s">
        <v>1701</v>
      </c>
      <c r="G260" s="3" t="s">
        <v>1702</v>
      </c>
      <c r="H260" s="3" t="s">
        <v>240</v>
      </c>
      <c r="I260" s="3" t="s">
        <v>345</v>
      </c>
      <c r="J260" s="3" t="s">
        <v>1585</v>
      </c>
      <c r="K260" s="3"/>
      <c r="L260" s="3" t="s">
        <v>1596</v>
      </c>
      <c r="M260" s="3" t="s">
        <v>27</v>
      </c>
      <c r="N260" s="3" t="s">
        <v>1597</v>
      </c>
      <c r="O260" s="3" t="s">
        <v>183</v>
      </c>
      <c r="P260" s="3" t="s">
        <v>1703</v>
      </c>
    </row>
    <row r="261" customFormat="false" ht="35.05" hidden="false" customHeight="false" outlineLevel="0" collapsed="false">
      <c r="A261" s="3" t="s">
        <v>1582</v>
      </c>
      <c r="B261" s="3" t="s">
        <v>17</v>
      </c>
      <c r="C261" s="3" t="s">
        <v>1704</v>
      </c>
      <c r="D261" s="3" t="s">
        <v>539</v>
      </c>
      <c r="E261" s="3"/>
      <c r="F261" s="3" t="s">
        <v>1705</v>
      </c>
      <c r="G261" s="3" t="s">
        <v>1706</v>
      </c>
      <c r="H261" s="3" t="s">
        <v>240</v>
      </c>
      <c r="I261" s="3" t="s">
        <v>36</v>
      </c>
      <c r="J261" s="3" t="s">
        <v>1585</v>
      </c>
      <c r="K261" s="3"/>
      <c r="L261" s="3" t="s">
        <v>1591</v>
      </c>
      <c r="M261" s="3" t="s">
        <v>46</v>
      </c>
      <c r="N261" s="3" t="s">
        <v>1592</v>
      </c>
      <c r="O261" s="3" t="s">
        <v>183</v>
      </c>
      <c r="P261" s="3" t="s">
        <v>1694</v>
      </c>
    </row>
    <row r="262" customFormat="false" ht="35.05" hidden="false" customHeight="false" outlineLevel="0" collapsed="false">
      <c r="A262" s="3" t="s">
        <v>1582</v>
      </c>
      <c r="B262" s="3" t="s">
        <v>17</v>
      </c>
      <c r="C262" s="3" t="s">
        <v>1707</v>
      </c>
      <c r="D262" s="3" t="s">
        <v>539</v>
      </c>
      <c r="E262" s="3"/>
      <c r="F262" s="3" t="s">
        <v>1708</v>
      </c>
      <c r="G262" s="3" t="s">
        <v>1709</v>
      </c>
      <c r="H262" s="3" t="s">
        <v>240</v>
      </c>
      <c r="I262" s="3" t="s">
        <v>24</v>
      </c>
      <c r="J262" s="3" t="s">
        <v>1585</v>
      </c>
      <c r="K262" s="3" t="s">
        <v>1710</v>
      </c>
      <c r="L262" s="3" t="s">
        <v>1678</v>
      </c>
      <c r="M262" s="3" t="s">
        <v>121</v>
      </c>
      <c r="N262" s="3" t="s">
        <v>1679</v>
      </c>
      <c r="O262" s="3" t="s">
        <v>183</v>
      </c>
      <c r="P262" s="3" t="s">
        <v>1694</v>
      </c>
    </row>
    <row r="263" customFormat="false" ht="57.45" hidden="false" customHeight="false" outlineLevel="0" collapsed="false">
      <c r="A263" s="2" t="s">
        <v>1582</v>
      </c>
      <c r="B263" s="2" t="s">
        <v>17</v>
      </c>
      <c r="C263" s="2" t="s">
        <v>1711</v>
      </c>
      <c r="D263" s="2" t="s">
        <v>539</v>
      </c>
      <c r="E263" s="2"/>
      <c r="F263" s="2" t="s">
        <v>1712</v>
      </c>
      <c r="G263" s="2" t="s">
        <v>1713</v>
      </c>
      <c r="H263" s="2" t="s">
        <v>240</v>
      </c>
      <c r="I263" s="2" t="s">
        <v>520</v>
      </c>
      <c r="J263" s="2" t="s">
        <v>1585</v>
      </c>
      <c r="K263" s="2" t="s">
        <v>1714</v>
      </c>
      <c r="L263" s="2" t="s">
        <v>1603</v>
      </c>
      <c r="M263" s="2" t="s">
        <v>243</v>
      </c>
      <c r="N263" s="2" t="s">
        <v>1604</v>
      </c>
      <c r="O263" s="2" t="s">
        <v>29</v>
      </c>
      <c r="P263" s="2" t="s">
        <v>1715</v>
      </c>
    </row>
    <row r="264" customFormat="false" ht="35.05" hidden="false" customHeight="false" outlineLevel="0" collapsed="false">
      <c r="A264" s="3" t="s">
        <v>1582</v>
      </c>
      <c r="B264" s="3" t="s">
        <v>17</v>
      </c>
      <c r="C264" s="3" t="s">
        <v>1716</v>
      </c>
      <c r="D264" s="3" t="s">
        <v>539</v>
      </c>
      <c r="E264" s="3"/>
      <c r="F264" s="3" t="s">
        <v>1717</v>
      </c>
      <c r="G264" s="3" t="s">
        <v>1718</v>
      </c>
      <c r="H264" s="3" t="s">
        <v>240</v>
      </c>
      <c r="I264" s="3" t="s">
        <v>520</v>
      </c>
      <c r="J264" s="3" t="s">
        <v>1585</v>
      </c>
      <c r="K264" s="3"/>
      <c r="L264" s="3" t="s">
        <v>1684</v>
      </c>
      <c r="M264" s="3" t="s">
        <v>121</v>
      </c>
      <c r="N264" s="3" t="s">
        <v>1685</v>
      </c>
      <c r="O264" s="3" t="s">
        <v>183</v>
      </c>
      <c r="P264" s="3" t="s">
        <v>1694</v>
      </c>
    </row>
    <row r="265" customFormat="false" ht="68.65" hidden="false" customHeight="false" outlineLevel="0" collapsed="false">
      <c r="A265" s="2" t="s">
        <v>1582</v>
      </c>
      <c r="B265" s="2" t="s">
        <v>17</v>
      </c>
      <c r="C265" s="2" t="s">
        <v>1719</v>
      </c>
      <c r="D265" s="2" t="s">
        <v>539</v>
      </c>
      <c r="E265" s="2"/>
      <c r="F265" s="2" t="s">
        <v>1720</v>
      </c>
      <c r="G265" s="2" t="s">
        <v>1721</v>
      </c>
      <c r="H265" s="2" t="s">
        <v>240</v>
      </c>
      <c r="I265" s="2" t="s">
        <v>1722</v>
      </c>
      <c r="J265" s="2" t="s">
        <v>1585</v>
      </c>
      <c r="K265" s="2" t="s">
        <v>1723</v>
      </c>
      <c r="L265" s="2" t="s">
        <v>1586</v>
      </c>
      <c r="M265" s="2" t="s">
        <v>27</v>
      </c>
      <c r="N265" s="2" t="s">
        <v>1587</v>
      </c>
      <c r="O265" s="2" t="s">
        <v>29</v>
      </c>
      <c r="P265" s="2" t="s">
        <v>1724</v>
      </c>
    </row>
    <row r="266" customFormat="false" ht="35.05" hidden="false" customHeight="false" outlineLevel="0" collapsed="false">
      <c r="A266" s="3" t="s">
        <v>1582</v>
      </c>
      <c r="B266" s="3" t="s">
        <v>65</v>
      </c>
      <c r="C266" s="3" t="s">
        <v>1725</v>
      </c>
      <c r="D266" s="3" t="s">
        <v>539</v>
      </c>
      <c r="E266" s="3"/>
      <c r="F266" s="3" t="s">
        <v>1726</v>
      </c>
      <c r="G266" s="3" t="s">
        <v>1727</v>
      </c>
      <c r="H266" s="3" t="s">
        <v>240</v>
      </c>
      <c r="I266" s="3" t="s">
        <v>233</v>
      </c>
      <c r="J266" s="3" t="s">
        <v>1585</v>
      </c>
      <c r="K266" s="3" t="s">
        <v>1728</v>
      </c>
      <c r="L266" s="3" t="s">
        <v>1678</v>
      </c>
      <c r="M266" s="3" t="s">
        <v>121</v>
      </c>
      <c r="N266" s="3" t="s">
        <v>1679</v>
      </c>
      <c r="O266" s="3" t="s">
        <v>183</v>
      </c>
      <c r="P266" s="3" t="s">
        <v>1686</v>
      </c>
    </row>
    <row r="267" customFormat="false" ht="57.45" hidden="false" customHeight="false" outlineLevel="0" collapsed="false">
      <c r="A267" s="3" t="s">
        <v>1582</v>
      </c>
      <c r="B267" s="3" t="s">
        <v>65</v>
      </c>
      <c r="C267" s="3" t="s">
        <v>1729</v>
      </c>
      <c r="D267" s="3" t="s">
        <v>539</v>
      </c>
      <c r="E267" s="3"/>
      <c r="F267" s="3" t="s">
        <v>1730</v>
      </c>
      <c r="G267" s="3" t="s">
        <v>1731</v>
      </c>
      <c r="H267" s="3" t="s">
        <v>240</v>
      </c>
      <c r="I267" s="3" t="s">
        <v>520</v>
      </c>
      <c r="J267" s="3" t="s">
        <v>1585</v>
      </c>
      <c r="K267" s="3" t="s">
        <v>1732</v>
      </c>
      <c r="L267" s="3" t="s">
        <v>1678</v>
      </c>
      <c r="M267" s="3" t="s">
        <v>121</v>
      </c>
      <c r="N267" s="3" t="s">
        <v>1679</v>
      </c>
      <c r="O267" s="3" t="s">
        <v>183</v>
      </c>
      <c r="P267" s="3" t="s">
        <v>1733</v>
      </c>
    </row>
    <row r="268" customFormat="false" ht="35.05" hidden="false" customHeight="false" outlineLevel="0" collapsed="false">
      <c r="A268" s="3" t="s">
        <v>1582</v>
      </c>
      <c r="B268" s="3" t="s">
        <v>17</v>
      </c>
      <c r="C268" s="3" t="s">
        <v>1734</v>
      </c>
      <c r="D268" s="3" t="s">
        <v>539</v>
      </c>
      <c r="E268" s="3"/>
      <c r="F268" s="3" t="s">
        <v>1735</v>
      </c>
      <c r="G268" s="3" t="s">
        <v>1736</v>
      </c>
      <c r="H268" s="3" t="s">
        <v>240</v>
      </c>
      <c r="I268" s="3" t="s">
        <v>1056</v>
      </c>
      <c r="J268" s="3" t="s">
        <v>1585</v>
      </c>
      <c r="K268" s="3"/>
      <c r="L268" s="3" t="s">
        <v>1671</v>
      </c>
      <c r="M268" s="3" t="s">
        <v>243</v>
      </c>
      <c r="N268" s="3" t="s">
        <v>1672</v>
      </c>
      <c r="O268" s="3" t="s">
        <v>183</v>
      </c>
      <c r="P268" s="3" t="s">
        <v>1694</v>
      </c>
    </row>
    <row r="269" customFormat="false" ht="46.25" hidden="false" customHeight="false" outlineLevel="0" collapsed="false">
      <c r="A269" s="2" t="s">
        <v>1582</v>
      </c>
      <c r="B269" s="2" t="s">
        <v>17</v>
      </c>
      <c r="C269" s="2" t="s">
        <v>1737</v>
      </c>
      <c r="D269" s="2" t="s">
        <v>539</v>
      </c>
      <c r="E269" s="2"/>
      <c r="F269" s="2" t="s">
        <v>1738</v>
      </c>
      <c r="G269" s="2" t="s">
        <v>1739</v>
      </c>
      <c r="H269" s="2" t="s">
        <v>240</v>
      </c>
      <c r="I269" s="2" t="s">
        <v>520</v>
      </c>
      <c r="J269" s="2" t="s">
        <v>1585</v>
      </c>
      <c r="K269" s="2"/>
      <c r="L269" s="2" t="s">
        <v>1603</v>
      </c>
      <c r="M269" s="2" t="s">
        <v>243</v>
      </c>
      <c r="N269" s="2" t="s">
        <v>1604</v>
      </c>
      <c r="O269" s="2" t="s">
        <v>29</v>
      </c>
      <c r="P269" s="2" t="s">
        <v>1740</v>
      </c>
    </row>
    <row r="270" customFormat="false" ht="57.45" hidden="false" customHeight="false" outlineLevel="0" collapsed="false">
      <c r="A270" s="2" t="s">
        <v>1582</v>
      </c>
      <c r="B270" s="2" t="s">
        <v>17</v>
      </c>
      <c r="C270" s="2" t="s">
        <v>1741</v>
      </c>
      <c r="D270" s="2" t="s">
        <v>539</v>
      </c>
      <c r="E270" s="2"/>
      <c r="F270" s="2" t="s">
        <v>1742</v>
      </c>
      <c r="G270" s="2" t="s">
        <v>1743</v>
      </c>
      <c r="H270" s="2" t="s">
        <v>240</v>
      </c>
      <c r="I270" s="2" t="s">
        <v>345</v>
      </c>
      <c r="J270" s="2" t="s">
        <v>1585</v>
      </c>
      <c r="K270" s="2" t="s">
        <v>1744</v>
      </c>
      <c r="L270" s="2" t="s">
        <v>1596</v>
      </c>
      <c r="M270" s="2" t="s">
        <v>27</v>
      </c>
      <c r="N270" s="2" t="s">
        <v>1597</v>
      </c>
      <c r="O270" s="2" t="s">
        <v>29</v>
      </c>
      <c r="P270" s="2" t="s">
        <v>1745</v>
      </c>
    </row>
    <row r="271" customFormat="false" ht="46.25" hidden="false" customHeight="false" outlineLevel="0" collapsed="false">
      <c r="A271" s="3" t="s">
        <v>1582</v>
      </c>
      <c r="B271" s="3" t="s">
        <v>31</v>
      </c>
      <c r="C271" s="3" t="s">
        <v>1746</v>
      </c>
      <c r="D271" s="3" t="s">
        <v>539</v>
      </c>
      <c r="E271" s="3"/>
      <c r="F271" s="3" t="s">
        <v>1747</v>
      </c>
      <c r="G271" s="3" t="s">
        <v>1748</v>
      </c>
      <c r="H271" s="3" t="s">
        <v>240</v>
      </c>
      <c r="I271" s="3" t="s">
        <v>345</v>
      </c>
      <c r="J271" s="3" t="s">
        <v>1585</v>
      </c>
      <c r="K271" s="3"/>
      <c r="L271" s="3" t="s">
        <v>1671</v>
      </c>
      <c r="M271" s="3" t="s">
        <v>243</v>
      </c>
      <c r="N271" s="3" t="s">
        <v>1672</v>
      </c>
      <c r="O271" s="3" t="s">
        <v>183</v>
      </c>
      <c r="P271" s="3" t="s">
        <v>1749</v>
      </c>
    </row>
    <row r="272" customFormat="false" ht="35.05" hidden="false" customHeight="false" outlineLevel="0" collapsed="false">
      <c r="A272" s="3" t="s">
        <v>1582</v>
      </c>
      <c r="B272" s="3" t="s">
        <v>17</v>
      </c>
      <c r="C272" s="3" t="s">
        <v>1750</v>
      </c>
      <c r="D272" s="3" t="s">
        <v>539</v>
      </c>
      <c r="E272" s="3"/>
      <c r="F272" s="3" t="s">
        <v>1751</v>
      </c>
      <c r="G272" s="3" t="s">
        <v>1752</v>
      </c>
      <c r="H272" s="3" t="s">
        <v>240</v>
      </c>
      <c r="I272" s="3" t="s">
        <v>1753</v>
      </c>
      <c r="J272" s="3" t="s">
        <v>1585</v>
      </c>
      <c r="K272" s="3" t="s">
        <v>1754</v>
      </c>
      <c r="L272" s="3" t="s">
        <v>1678</v>
      </c>
      <c r="M272" s="3" t="s">
        <v>121</v>
      </c>
      <c r="N272" s="3" t="s">
        <v>1679</v>
      </c>
      <c r="O272" s="3" t="s">
        <v>183</v>
      </c>
      <c r="P272" s="3" t="s">
        <v>1694</v>
      </c>
    </row>
    <row r="273" customFormat="false" ht="35.05" hidden="false" customHeight="false" outlineLevel="0" collapsed="false">
      <c r="A273" s="2" t="s">
        <v>1582</v>
      </c>
      <c r="B273" s="2" t="s">
        <v>17</v>
      </c>
      <c r="C273" s="2" t="s">
        <v>1755</v>
      </c>
      <c r="D273" s="2" t="s">
        <v>539</v>
      </c>
      <c r="E273" s="2"/>
      <c r="F273" s="2" t="s">
        <v>1756</v>
      </c>
      <c r="G273" s="2" t="s">
        <v>1757</v>
      </c>
      <c r="H273" s="2" t="s">
        <v>240</v>
      </c>
      <c r="I273" s="2" t="s">
        <v>226</v>
      </c>
      <c r="J273" s="2" t="s">
        <v>1585</v>
      </c>
      <c r="K273" s="2"/>
      <c r="L273" s="2" t="s">
        <v>1596</v>
      </c>
      <c r="M273" s="2" t="s">
        <v>27</v>
      </c>
      <c r="N273" s="2" t="s">
        <v>1597</v>
      </c>
      <c r="O273" s="2" t="s">
        <v>29</v>
      </c>
      <c r="P273" s="2" t="s">
        <v>1694</v>
      </c>
    </row>
    <row r="274" customFormat="false" ht="35.05" hidden="false" customHeight="false" outlineLevel="0" collapsed="false">
      <c r="A274" s="3" t="s">
        <v>1582</v>
      </c>
      <c r="B274" s="3" t="s">
        <v>17</v>
      </c>
      <c r="C274" s="3" t="s">
        <v>1758</v>
      </c>
      <c r="D274" s="3" t="s">
        <v>539</v>
      </c>
      <c r="E274" s="3"/>
      <c r="F274" s="3" t="s">
        <v>1759</v>
      </c>
      <c r="G274" s="3" t="s">
        <v>1760</v>
      </c>
      <c r="H274" s="3" t="s">
        <v>240</v>
      </c>
      <c r="I274" s="3" t="s">
        <v>1753</v>
      </c>
      <c r="J274" s="3" t="s">
        <v>1585</v>
      </c>
      <c r="K274" s="3"/>
      <c r="L274" s="3" t="s">
        <v>1684</v>
      </c>
      <c r="M274" s="3" t="s">
        <v>121</v>
      </c>
      <c r="N274" s="3" t="s">
        <v>1685</v>
      </c>
      <c r="O274" s="3" t="s">
        <v>183</v>
      </c>
      <c r="P274" s="3" t="s">
        <v>1680</v>
      </c>
    </row>
    <row r="275" customFormat="false" ht="35.05" hidden="false" customHeight="false" outlineLevel="0" collapsed="false">
      <c r="A275" s="3" t="s">
        <v>1582</v>
      </c>
      <c r="B275" s="3" t="s">
        <v>17</v>
      </c>
      <c r="C275" s="3" t="s">
        <v>1737</v>
      </c>
      <c r="D275" s="3" t="s">
        <v>539</v>
      </c>
      <c r="E275" s="3"/>
      <c r="F275" s="3" t="s">
        <v>1761</v>
      </c>
      <c r="G275" s="3" t="s">
        <v>1762</v>
      </c>
      <c r="H275" s="3" t="s">
        <v>240</v>
      </c>
      <c r="I275" s="3" t="s">
        <v>36</v>
      </c>
      <c r="J275" s="3" t="s">
        <v>1585</v>
      </c>
      <c r="K275" s="3"/>
      <c r="L275" s="3" t="s">
        <v>1591</v>
      </c>
      <c r="M275" s="3" t="s">
        <v>46</v>
      </c>
      <c r="N275" s="3" t="s">
        <v>1592</v>
      </c>
      <c r="O275" s="3" t="s">
        <v>183</v>
      </c>
      <c r="P275" s="3" t="s">
        <v>1694</v>
      </c>
    </row>
    <row r="276" customFormat="false" ht="35.05" hidden="false" customHeight="false" outlineLevel="0" collapsed="false">
      <c r="A276" s="3" t="s">
        <v>1582</v>
      </c>
      <c r="B276" s="3" t="s">
        <v>17</v>
      </c>
      <c r="C276" s="3" t="s">
        <v>1763</v>
      </c>
      <c r="D276" s="3" t="s">
        <v>539</v>
      </c>
      <c r="E276" s="3"/>
      <c r="F276" s="3" t="s">
        <v>1764</v>
      </c>
      <c r="G276" s="3" t="s">
        <v>1765</v>
      </c>
      <c r="H276" s="3" t="s">
        <v>240</v>
      </c>
      <c r="I276" s="3" t="s">
        <v>24</v>
      </c>
      <c r="J276" s="3" t="s">
        <v>1585</v>
      </c>
      <c r="K276" s="3"/>
      <c r="L276" s="3" t="s">
        <v>1591</v>
      </c>
      <c r="M276" s="3" t="s">
        <v>46</v>
      </c>
      <c r="N276" s="3" t="s">
        <v>1592</v>
      </c>
      <c r="O276" s="3" t="s">
        <v>183</v>
      </c>
      <c r="P276" s="3" t="s">
        <v>1694</v>
      </c>
    </row>
    <row r="277" customFormat="false" ht="35.05" hidden="false" customHeight="false" outlineLevel="0" collapsed="false">
      <c r="A277" s="2" t="s">
        <v>1766</v>
      </c>
      <c r="B277" s="2" t="s">
        <v>31</v>
      </c>
      <c r="C277" s="2" t="s">
        <v>1767</v>
      </c>
      <c r="D277" s="2" t="s">
        <v>19</v>
      </c>
      <c r="E277" s="2"/>
      <c r="F277" s="2" t="s">
        <v>1768</v>
      </c>
      <c r="G277" s="2" t="s">
        <v>1769</v>
      </c>
      <c r="H277" s="2" t="s">
        <v>212</v>
      </c>
      <c r="I277" s="2" t="s">
        <v>413</v>
      </c>
      <c r="J277" s="2" t="s">
        <v>1585</v>
      </c>
      <c r="K277" s="2"/>
      <c r="L277" s="2" t="s">
        <v>1770</v>
      </c>
      <c r="M277" s="2" t="s">
        <v>160</v>
      </c>
      <c r="N277" s="2" t="s">
        <v>1771</v>
      </c>
      <c r="O277" s="2" t="s">
        <v>29</v>
      </c>
      <c r="P277" s="2" t="s">
        <v>1667</v>
      </c>
    </row>
    <row r="278" customFormat="false" ht="57.45" hidden="false" customHeight="false" outlineLevel="0" collapsed="false">
      <c r="A278" s="3" t="s">
        <v>1766</v>
      </c>
      <c r="B278" s="3" t="s">
        <v>17</v>
      </c>
      <c r="C278" s="3" t="s">
        <v>88</v>
      </c>
      <c r="D278" s="3" t="s">
        <v>89</v>
      </c>
      <c r="E278" s="3"/>
      <c r="F278" s="3" t="s">
        <v>1772</v>
      </c>
      <c r="G278" s="3" t="s">
        <v>1773</v>
      </c>
      <c r="H278" s="3" t="s">
        <v>99</v>
      </c>
      <c r="I278" s="3" t="s">
        <v>226</v>
      </c>
      <c r="J278" s="3" t="s">
        <v>1585</v>
      </c>
      <c r="K278" s="3"/>
      <c r="L278" s="3" t="s">
        <v>1774</v>
      </c>
      <c r="M278" s="3" t="s">
        <v>243</v>
      </c>
      <c r="N278" s="3" t="s">
        <v>1775</v>
      </c>
      <c r="O278" s="3" t="s">
        <v>183</v>
      </c>
      <c r="P278" s="3" t="s">
        <v>1776</v>
      </c>
    </row>
    <row r="279" customFormat="false" ht="35.05" hidden="false" customHeight="false" outlineLevel="0" collapsed="false">
      <c r="A279" s="3" t="s">
        <v>1766</v>
      </c>
      <c r="B279" s="3" t="s">
        <v>17</v>
      </c>
      <c r="C279" s="3" t="s">
        <v>88</v>
      </c>
      <c r="D279" s="3" t="s">
        <v>89</v>
      </c>
      <c r="E279" s="3"/>
      <c r="F279" s="3" t="s">
        <v>1777</v>
      </c>
      <c r="G279" s="3" t="s">
        <v>1778</v>
      </c>
      <c r="H279" s="3" t="s">
        <v>99</v>
      </c>
      <c r="I279" s="3" t="s">
        <v>24</v>
      </c>
      <c r="J279" s="3" t="s">
        <v>1585</v>
      </c>
      <c r="K279" s="3"/>
      <c r="L279" s="3" t="s">
        <v>1774</v>
      </c>
      <c r="M279" s="3" t="s">
        <v>243</v>
      </c>
      <c r="N279" s="3" t="s">
        <v>1775</v>
      </c>
      <c r="O279" s="3" t="s">
        <v>183</v>
      </c>
      <c r="P279" s="3" t="s">
        <v>1588</v>
      </c>
    </row>
    <row r="280" customFormat="false" ht="35.05" hidden="false" customHeight="false" outlineLevel="0" collapsed="false">
      <c r="A280" s="3" t="s">
        <v>1766</v>
      </c>
      <c r="B280" s="3" t="s">
        <v>17</v>
      </c>
      <c r="C280" s="3" t="s">
        <v>88</v>
      </c>
      <c r="D280" s="3" t="s">
        <v>89</v>
      </c>
      <c r="E280" s="3"/>
      <c r="F280" s="3" t="s">
        <v>1779</v>
      </c>
      <c r="G280" s="3" t="s">
        <v>1780</v>
      </c>
      <c r="H280" s="3" t="s">
        <v>99</v>
      </c>
      <c r="I280" s="3" t="s">
        <v>226</v>
      </c>
      <c r="J280" s="3" t="s">
        <v>1585</v>
      </c>
      <c r="K280" s="3"/>
      <c r="L280" s="3" t="s">
        <v>1781</v>
      </c>
      <c r="M280" s="3" t="s">
        <v>121</v>
      </c>
      <c r="N280" s="3" t="s">
        <v>1782</v>
      </c>
      <c r="O280" s="3" t="s">
        <v>183</v>
      </c>
      <c r="P280" s="3" t="s">
        <v>1588</v>
      </c>
    </row>
    <row r="281" customFormat="false" ht="57.45" hidden="false" customHeight="false" outlineLevel="0" collapsed="false">
      <c r="A281" s="2" t="s">
        <v>1766</v>
      </c>
      <c r="B281" s="2" t="s">
        <v>17</v>
      </c>
      <c r="C281" s="2" t="s">
        <v>1783</v>
      </c>
      <c r="D281" s="2" t="s">
        <v>247</v>
      </c>
      <c r="E281" s="2"/>
      <c r="F281" s="2" t="s">
        <v>1784</v>
      </c>
      <c r="G281" s="2" t="s">
        <v>1785</v>
      </c>
      <c r="H281" s="2" t="s">
        <v>1602</v>
      </c>
      <c r="I281" s="2" t="s">
        <v>1786</v>
      </c>
      <c r="J281" s="2" t="s">
        <v>1585</v>
      </c>
      <c r="K281" s="2"/>
      <c r="L281" s="2" t="s">
        <v>1787</v>
      </c>
      <c r="M281" s="2" t="s">
        <v>1657</v>
      </c>
      <c r="N281" s="2" t="s">
        <v>1788</v>
      </c>
      <c r="O281" s="2" t="s">
        <v>29</v>
      </c>
      <c r="P281" s="2" t="s">
        <v>1598</v>
      </c>
    </row>
    <row r="282" customFormat="false" ht="46.25" hidden="false" customHeight="false" outlineLevel="0" collapsed="false">
      <c r="A282" s="2" t="s">
        <v>1766</v>
      </c>
      <c r="B282" s="2" t="s">
        <v>31</v>
      </c>
      <c r="C282" s="2" t="s">
        <v>1647</v>
      </c>
      <c r="D282" s="2" t="s">
        <v>247</v>
      </c>
      <c r="E282" s="2"/>
      <c r="F282" s="2" t="s">
        <v>1789</v>
      </c>
      <c r="G282" s="2" t="s">
        <v>1790</v>
      </c>
      <c r="H282" s="2" t="s">
        <v>1791</v>
      </c>
      <c r="I282" s="2" t="s">
        <v>460</v>
      </c>
      <c r="J282" s="2" t="s">
        <v>1585</v>
      </c>
      <c r="K282" s="2"/>
      <c r="L282" s="2" t="s">
        <v>1792</v>
      </c>
      <c r="M282" s="2" t="s">
        <v>1793</v>
      </c>
      <c r="N282" s="2" t="s">
        <v>1794</v>
      </c>
      <c r="O282" s="2" t="s">
        <v>29</v>
      </c>
      <c r="P282" s="2" t="s">
        <v>1667</v>
      </c>
    </row>
    <row r="283" customFormat="false" ht="35.05" hidden="false" customHeight="false" outlineLevel="0" collapsed="false">
      <c r="A283" s="2" t="s">
        <v>1766</v>
      </c>
      <c r="B283" s="2" t="s">
        <v>17</v>
      </c>
      <c r="C283" s="2" t="s">
        <v>1795</v>
      </c>
      <c r="D283" s="2" t="s">
        <v>320</v>
      </c>
      <c r="E283" s="2"/>
      <c r="F283" s="2" t="s">
        <v>1796</v>
      </c>
      <c r="G283" s="2" t="s">
        <v>1797</v>
      </c>
      <c r="H283" s="2" t="s">
        <v>364</v>
      </c>
      <c r="I283" s="2" t="s">
        <v>36</v>
      </c>
      <c r="J283" s="2" t="s">
        <v>1585</v>
      </c>
      <c r="K283" s="2"/>
      <c r="L283" s="2" t="s">
        <v>1798</v>
      </c>
      <c r="M283" s="2" t="s">
        <v>121</v>
      </c>
      <c r="N283" s="2" t="s">
        <v>1799</v>
      </c>
      <c r="O283" s="2" t="s">
        <v>29</v>
      </c>
      <c r="P283" s="2" t="s">
        <v>1629</v>
      </c>
    </row>
    <row r="284" customFormat="false" ht="35.05" hidden="false" customHeight="false" outlineLevel="0" collapsed="false">
      <c r="A284" s="2" t="s">
        <v>1766</v>
      </c>
      <c r="B284" s="2" t="s">
        <v>17</v>
      </c>
      <c r="C284" s="2" t="s">
        <v>1800</v>
      </c>
      <c r="D284" s="2" t="s">
        <v>320</v>
      </c>
      <c r="E284" s="2"/>
      <c r="F284" s="2" t="s">
        <v>1801</v>
      </c>
      <c r="G284" s="2" t="s">
        <v>1802</v>
      </c>
      <c r="H284" s="2" t="s">
        <v>364</v>
      </c>
      <c r="I284" s="2" t="s">
        <v>36</v>
      </c>
      <c r="J284" s="2" t="s">
        <v>1585</v>
      </c>
      <c r="K284" s="2"/>
      <c r="L284" s="2" t="s">
        <v>1770</v>
      </c>
      <c r="M284" s="2" t="s">
        <v>160</v>
      </c>
      <c r="N284" s="2" t="s">
        <v>1803</v>
      </c>
      <c r="O284" s="2" t="s">
        <v>29</v>
      </c>
      <c r="P284" s="2" t="s">
        <v>1629</v>
      </c>
    </row>
    <row r="285" customFormat="false" ht="46.25" hidden="false" customHeight="false" outlineLevel="0" collapsed="false">
      <c r="A285" s="3" t="s">
        <v>1766</v>
      </c>
      <c r="B285" s="3" t="s">
        <v>17</v>
      </c>
      <c r="C285" s="3" t="s">
        <v>1804</v>
      </c>
      <c r="D285" s="3" t="s">
        <v>320</v>
      </c>
      <c r="E285" s="3"/>
      <c r="F285" s="3" t="s">
        <v>1805</v>
      </c>
      <c r="G285" s="3" t="s">
        <v>1806</v>
      </c>
      <c r="H285" s="3" t="s">
        <v>330</v>
      </c>
      <c r="I285" s="3" t="s">
        <v>36</v>
      </c>
      <c r="J285" s="3" t="s">
        <v>1585</v>
      </c>
      <c r="K285" s="3"/>
      <c r="L285" s="3" t="s">
        <v>1798</v>
      </c>
      <c r="M285" s="3" t="s">
        <v>121</v>
      </c>
      <c r="N285" s="3" t="s">
        <v>1799</v>
      </c>
      <c r="O285" s="3" t="s">
        <v>183</v>
      </c>
      <c r="P285" s="3" t="s">
        <v>1807</v>
      </c>
    </row>
    <row r="286" customFormat="false" ht="57.45" hidden="false" customHeight="false" outlineLevel="0" collapsed="false">
      <c r="A286" s="2" t="s">
        <v>1766</v>
      </c>
      <c r="B286" s="2" t="s">
        <v>31</v>
      </c>
      <c r="C286" s="2" t="s">
        <v>1808</v>
      </c>
      <c r="D286" s="2" t="s">
        <v>320</v>
      </c>
      <c r="E286" s="2"/>
      <c r="F286" s="2" t="s">
        <v>1809</v>
      </c>
      <c r="G286" s="2" t="s">
        <v>1810</v>
      </c>
      <c r="H286" s="2" t="s">
        <v>1621</v>
      </c>
      <c r="I286" s="2" t="s">
        <v>460</v>
      </c>
      <c r="J286" s="2" t="s">
        <v>1585</v>
      </c>
      <c r="K286" s="2"/>
      <c r="L286" s="2" t="s">
        <v>1811</v>
      </c>
      <c r="M286" s="2" t="s">
        <v>243</v>
      </c>
      <c r="N286" s="2" t="s">
        <v>1812</v>
      </c>
      <c r="O286" s="2" t="s">
        <v>29</v>
      </c>
      <c r="P286" s="2" t="s">
        <v>1813</v>
      </c>
    </row>
    <row r="287" customFormat="false" ht="35.05" hidden="false" customHeight="false" outlineLevel="0" collapsed="false">
      <c r="A287" s="2" t="s">
        <v>1766</v>
      </c>
      <c r="B287" s="2" t="s">
        <v>31</v>
      </c>
      <c r="C287" s="2" t="s">
        <v>1814</v>
      </c>
      <c r="D287" s="2" t="s">
        <v>320</v>
      </c>
      <c r="E287" s="2"/>
      <c r="F287" s="2" t="s">
        <v>1815</v>
      </c>
      <c r="G287" s="2" t="s">
        <v>1816</v>
      </c>
      <c r="H287" s="2" t="s">
        <v>1621</v>
      </c>
      <c r="I287" s="2" t="s">
        <v>460</v>
      </c>
      <c r="J287" s="2" t="s">
        <v>1585</v>
      </c>
      <c r="K287" s="2"/>
      <c r="L287" s="2" t="s">
        <v>1817</v>
      </c>
      <c r="M287" s="2" t="s">
        <v>243</v>
      </c>
      <c r="N287" s="2" t="s">
        <v>1818</v>
      </c>
      <c r="O287" s="2" t="s">
        <v>29</v>
      </c>
      <c r="P287" s="2" t="s">
        <v>1625</v>
      </c>
    </row>
    <row r="288" customFormat="false" ht="68.65" hidden="false" customHeight="false" outlineLevel="0" collapsed="false">
      <c r="A288" s="2" t="s">
        <v>1766</v>
      </c>
      <c r="B288" s="2" t="s">
        <v>17</v>
      </c>
      <c r="C288" s="2" t="s">
        <v>1819</v>
      </c>
      <c r="D288" s="2" t="s">
        <v>320</v>
      </c>
      <c r="E288" s="2"/>
      <c r="F288" s="2" t="s">
        <v>1820</v>
      </c>
      <c r="G288" s="2" t="s">
        <v>1821</v>
      </c>
      <c r="H288" s="2" t="s">
        <v>1822</v>
      </c>
      <c r="I288" s="2" t="s">
        <v>1823</v>
      </c>
      <c r="J288" s="2" t="s">
        <v>1585</v>
      </c>
      <c r="K288" s="2"/>
      <c r="L288" s="2" t="s">
        <v>1770</v>
      </c>
      <c r="M288" s="2" t="s">
        <v>160</v>
      </c>
      <c r="N288" s="2" t="s">
        <v>1803</v>
      </c>
      <c r="O288" s="2" t="s">
        <v>29</v>
      </c>
      <c r="P288" s="2" t="s">
        <v>1824</v>
      </c>
    </row>
    <row r="289" customFormat="false" ht="57.45" hidden="false" customHeight="false" outlineLevel="0" collapsed="false">
      <c r="A289" s="2" t="s">
        <v>1766</v>
      </c>
      <c r="B289" s="2" t="s">
        <v>17</v>
      </c>
      <c r="C289" s="2" t="s">
        <v>349</v>
      </c>
      <c r="D289" s="2" t="s">
        <v>320</v>
      </c>
      <c r="E289" s="2"/>
      <c r="F289" s="2" t="s">
        <v>1825</v>
      </c>
      <c r="G289" s="2" t="s">
        <v>1826</v>
      </c>
      <c r="H289" s="2" t="s">
        <v>983</v>
      </c>
      <c r="I289" s="2" t="s">
        <v>1827</v>
      </c>
      <c r="J289" s="2" t="s">
        <v>1585</v>
      </c>
      <c r="K289" s="2"/>
      <c r="L289" s="2" t="s">
        <v>1770</v>
      </c>
      <c r="M289" s="2" t="s">
        <v>160</v>
      </c>
      <c r="N289" s="2" t="s">
        <v>1771</v>
      </c>
      <c r="O289" s="2" t="s">
        <v>29</v>
      </c>
      <c r="P289" s="2" t="s">
        <v>1629</v>
      </c>
    </row>
    <row r="290" customFormat="false" ht="35.05" hidden="false" customHeight="false" outlineLevel="0" collapsed="false">
      <c r="A290" s="2" t="s">
        <v>1766</v>
      </c>
      <c r="B290" s="2" t="s">
        <v>17</v>
      </c>
      <c r="C290" s="2" t="s">
        <v>1828</v>
      </c>
      <c r="D290" s="2" t="s">
        <v>390</v>
      </c>
      <c r="E290" s="2"/>
      <c r="F290" s="2" t="s">
        <v>1829</v>
      </c>
      <c r="G290" s="2" t="s">
        <v>1830</v>
      </c>
      <c r="H290" s="2" t="s">
        <v>212</v>
      </c>
      <c r="I290" s="2" t="s">
        <v>24</v>
      </c>
      <c r="J290" s="2" t="s">
        <v>1585</v>
      </c>
      <c r="K290" s="2"/>
      <c r="L290" s="2" t="s">
        <v>1787</v>
      </c>
      <c r="M290" s="2" t="s">
        <v>1657</v>
      </c>
      <c r="N290" s="2" t="s">
        <v>1788</v>
      </c>
      <c r="O290" s="2" t="s">
        <v>29</v>
      </c>
      <c r="P290" s="2" t="s">
        <v>1831</v>
      </c>
    </row>
    <row r="291" customFormat="false" ht="35.05" hidden="false" customHeight="false" outlineLevel="0" collapsed="false">
      <c r="A291" s="2" t="s">
        <v>1766</v>
      </c>
      <c r="B291" s="2" t="s">
        <v>31</v>
      </c>
      <c r="C291" s="2" t="s">
        <v>1832</v>
      </c>
      <c r="D291" s="2" t="s">
        <v>390</v>
      </c>
      <c r="E291" s="2"/>
      <c r="F291" s="2" t="s">
        <v>1833</v>
      </c>
      <c r="G291" s="2" t="s">
        <v>1834</v>
      </c>
      <c r="H291" s="2" t="s">
        <v>212</v>
      </c>
      <c r="I291" s="2" t="s">
        <v>226</v>
      </c>
      <c r="J291" s="2" t="s">
        <v>1585</v>
      </c>
      <c r="K291" s="2"/>
      <c r="L291" s="2" t="s">
        <v>1835</v>
      </c>
      <c r="M291" s="2" t="s">
        <v>27</v>
      </c>
      <c r="N291" s="2" t="s">
        <v>1836</v>
      </c>
      <c r="O291" s="2" t="s">
        <v>29</v>
      </c>
      <c r="P291" s="2" t="s">
        <v>1667</v>
      </c>
    </row>
    <row r="292" customFormat="false" ht="35.05" hidden="false" customHeight="false" outlineLevel="0" collapsed="false">
      <c r="A292" s="2" t="s">
        <v>1766</v>
      </c>
      <c r="B292" s="2" t="s">
        <v>31</v>
      </c>
      <c r="C292" s="2" t="s">
        <v>1837</v>
      </c>
      <c r="D292" s="2" t="s">
        <v>390</v>
      </c>
      <c r="E292" s="2"/>
      <c r="F292" s="2" t="s">
        <v>1838</v>
      </c>
      <c r="G292" s="2" t="s">
        <v>1839</v>
      </c>
      <c r="H292" s="2" t="s">
        <v>212</v>
      </c>
      <c r="I292" s="2" t="s">
        <v>226</v>
      </c>
      <c r="J292" s="2" t="s">
        <v>1585</v>
      </c>
      <c r="K292" s="2"/>
      <c r="L292" s="2" t="s">
        <v>1787</v>
      </c>
      <c r="M292" s="2" t="s">
        <v>1657</v>
      </c>
      <c r="N292" s="2" t="s">
        <v>1788</v>
      </c>
      <c r="O292" s="2" t="s">
        <v>29</v>
      </c>
      <c r="P292" s="2" t="s">
        <v>1667</v>
      </c>
    </row>
    <row r="293" customFormat="false" ht="35.05" hidden="false" customHeight="false" outlineLevel="0" collapsed="false">
      <c r="A293" s="2" t="s">
        <v>1766</v>
      </c>
      <c r="B293" s="2" t="s">
        <v>31</v>
      </c>
      <c r="C293" s="2" t="s">
        <v>1664</v>
      </c>
      <c r="D293" s="2" t="s">
        <v>390</v>
      </c>
      <c r="E293" s="2"/>
      <c r="F293" s="2" t="s">
        <v>1840</v>
      </c>
      <c r="G293" s="2" t="s">
        <v>1841</v>
      </c>
      <c r="H293" s="2" t="s">
        <v>212</v>
      </c>
      <c r="I293" s="2" t="s">
        <v>1842</v>
      </c>
      <c r="J293" s="2" t="s">
        <v>1585</v>
      </c>
      <c r="K293" s="2"/>
      <c r="L293" s="2" t="s">
        <v>1843</v>
      </c>
      <c r="M293" s="2" t="s">
        <v>46</v>
      </c>
      <c r="N293" s="2" t="s">
        <v>1844</v>
      </c>
      <c r="O293" s="2" t="s">
        <v>29</v>
      </c>
      <c r="P293" s="2" t="s">
        <v>1667</v>
      </c>
    </row>
    <row r="294" customFormat="false" ht="57.45" hidden="false" customHeight="false" outlineLevel="0" collapsed="false">
      <c r="A294" s="3" t="s">
        <v>1766</v>
      </c>
      <c r="B294" s="3" t="s">
        <v>31</v>
      </c>
      <c r="C294" s="3" t="s">
        <v>1845</v>
      </c>
      <c r="D294" s="3" t="s">
        <v>390</v>
      </c>
      <c r="E294" s="3"/>
      <c r="F294" s="3" t="s">
        <v>1846</v>
      </c>
      <c r="G294" s="3" t="s">
        <v>1847</v>
      </c>
      <c r="H294" s="3" t="s">
        <v>1848</v>
      </c>
      <c r="I294" s="3" t="s">
        <v>24</v>
      </c>
      <c r="J294" s="3" t="s">
        <v>1585</v>
      </c>
      <c r="K294" s="3"/>
      <c r="L294" s="3" t="s">
        <v>1849</v>
      </c>
      <c r="M294" s="3" t="s">
        <v>121</v>
      </c>
      <c r="N294" s="3" t="s">
        <v>1850</v>
      </c>
      <c r="O294" s="3" t="s">
        <v>183</v>
      </c>
      <c r="P294" s="3" t="s">
        <v>1851</v>
      </c>
    </row>
    <row r="295" customFormat="false" ht="46.25" hidden="false" customHeight="false" outlineLevel="0" collapsed="false">
      <c r="A295" s="3" t="s">
        <v>1766</v>
      </c>
      <c r="B295" s="3" t="s">
        <v>17</v>
      </c>
      <c r="C295" s="3" t="s">
        <v>1852</v>
      </c>
      <c r="D295" s="3" t="s">
        <v>539</v>
      </c>
      <c r="E295" s="3"/>
      <c r="F295" s="3" t="s">
        <v>1853</v>
      </c>
      <c r="G295" s="3" t="s">
        <v>1854</v>
      </c>
      <c r="H295" s="3" t="s">
        <v>240</v>
      </c>
      <c r="I295" s="3" t="s">
        <v>763</v>
      </c>
      <c r="J295" s="3" t="s">
        <v>1585</v>
      </c>
      <c r="K295" s="3"/>
      <c r="L295" s="3" t="s">
        <v>1855</v>
      </c>
      <c r="M295" s="3" t="s">
        <v>121</v>
      </c>
      <c r="N295" s="3" t="s">
        <v>1856</v>
      </c>
      <c r="O295" s="3" t="s">
        <v>183</v>
      </c>
      <c r="P295" s="3" t="s">
        <v>1694</v>
      </c>
    </row>
    <row r="296" customFormat="false" ht="35.05" hidden="false" customHeight="false" outlineLevel="0" collapsed="false">
      <c r="A296" s="3" t="s">
        <v>1766</v>
      </c>
      <c r="B296" s="3" t="s">
        <v>65</v>
      </c>
      <c r="C296" s="3" t="s">
        <v>1857</v>
      </c>
      <c r="D296" s="3" t="s">
        <v>539</v>
      </c>
      <c r="E296" s="3"/>
      <c r="F296" s="3" t="s">
        <v>1858</v>
      </c>
      <c r="G296" s="3" t="s">
        <v>1859</v>
      </c>
      <c r="H296" s="3" t="s">
        <v>240</v>
      </c>
      <c r="I296" s="3" t="s">
        <v>233</v>
      </c>
      <c r="J296" s="3" t="s">
        <v>1585</v>
      </c>
      <c r="K296" s="3" t="s">
        <v>1860</v>
      </c>
      <c r="L296" s="3" t="s">
        <v>1781</v>
      </c>
      <c r="M296" s="3" t="s">
        <v>121</v>
      </c>
      <c r="N296" s="3" t="s">
        <v>1782</v>
      </c>
      <c r="O296" s="3" t="s">
        <v>183</v>
      </c>
      <c r="P296" s="3" t="s">
        <v>1686</v>
      </c>
    </row>
    <row r="297" customFormat="false" ht="35.05" hidden="false" customHeight="false" outlineLevel="0" collapsed="false">
      <c r="A297" s="3" t="s">
        <v>1766</v>
      </c>
      <c r="B297" s="3" t="s">
        <v>17</v>
      </c>
      <c r="C297" s="3" t="s">
        <v>1861</v>
      </c>
      <c r="D297" s="3" t="s">
        <v>539</v>
      </c>
      <c r="E297" s="3"/>
      <c r="F297" s="3" t="s">
        <v>1862</v>
      </c>
      <c r="G297" s="3" t="s">
        <v>1863</v>
      </c>
      <c r="H297" s="3" t="s">
        <v>240</v>
      </c>
      <c r="I297" s="3" t="s">
        <v>763</v>
      </c>
      <c r="J297" s="3" t="s">
        <v>1585</v>
      </c>
      <c r="K297" s="3"/>
      <c r="L297" s="3" t="s">
        <v>1781</v>
      </c>
      <c r="M297" s="3" t="s">
        <v>121</v>
      </c>
      <c r="N297" s="3" t="s">
        <v>1782</v>
      </c>
      <c r="O297" s="3" t="s">
        <v>183</v>
      </c>
      <c r="P297" s="3" t="s">
        <v>1680</v>
      </c>
    </row>
    <row r="298" customFormat="false" ht="46.25" hidden="false" customHeight="false" outlineLevel="0" collapsed="false">
      <c r="A298" s="3" t="s">
        <v>1766</v>
      </c>
      <c r="B298" s="3" t="s">
        <v>17</v>
      </c>
      <c r="C298" s="3" t="s">
        <v>1864</v>
      </c>
      <c r="D298" s="3" t="s">
        <v>539</v>
      </c>
      <c r="E298" s="3"/>
      <c r="F298" s="3" t="s">
        <v>1865</v>
      </c>
      <c r="G298" s="3" t="s">
        <v>1866</v>
      </c>
      <c r="H298" s="3" t="s">
        <v>240</v>
      </c>
      <c r="I298" s="3" t="s">
        <v>520</v>
      </c>
      <c r="J298" s="3" t="s">
        <v>1585</v>
      </c>
      <c r="K298" s="3"/>
      <c r="L298" s="3" t="s">
        <v>1855</v>
      </c>
      <c r="M298" s="3" t="s">
        <v>121</v>
      </c>
      <c r="N298" s="3" t="s">
        <v>1856</v>
      </c>
      <c r="O298" s="3" t="s">
        <v>183</v>
      </c>
      <c r="P298" s="3" t="s">
        <v>1680</v>
      </c>
    </row>
    <row r="299" customFormat="false" ht="35.05" hidden="false" customHeight="false" outlineLevel="0" collapsed="false">
      <c r="A299" s="3" t="s">
        <v>1766</v>
      </c>
      <c r="B299" s="3" t="s">
        <v>17</v>
      </c>
      <c r="C299" s="3" t="s">
        <v>1867</v>
      </c>
      <c r="D299" s="3" t="s">
        <v>539</v>
      </c>
      <c r="E299" s="3"/>
      <c r="F299" s="3" t="s">
        <v>1868</v>
      </c>
      <c r="G299" s="3" t="s">
        <v>1869</v>
      </c>
      <c r="H299" s="3" t="s">
        <v>240</v>
      </c>
      <c r="I299" s="3" t="s">
        <v>763</v>
      </c>
      <c r="J299" s="3" t="s">
        <v>1585</v>
      </c>
      <c r="K299" s="3"/>
      <c r="L299" s="3" t="s">
        <v>1870</v>
      </c>
      <c r="M299" s="3" t="s">
        <v>46</v>
      </c>
      <c r="N299" s="3" t="s">
        <v>1871</v>
      </c>
      <c r="O299" s="3" t="s">
        <v>183</v>
      </c>
      <c r="P299" s="3" t="s">
        <v>1694</v>
      </c>
    </row>
    <row r="300" customFormat="false" ht="35.05" hidden="false" customHeight="false" outlineLevel="0" collapsed="false">
      <c r="A300" s="3" t="s">
        <v>1766</v>
      </c>
      <c r="B300" s="3" t="s">
        <v>17</v>
      </c>
      <c r="C300" s="3" t="s">
        <v>1872</v>
      </c>
      <c r="D300" s="3" t="s">
        <v>539</v>
      </c>
      <c r="E300" s="3"/>
      <c r="F300" s="3" t="s">
        <v>1873</v>
      </c>
      <c r="G300" s="3" t="s">
        <v>1874</v>
      </c>
      <c r="H300" s="3" t="s">
        <v>240</v>
      </c>
      <c r="I300" s="3" t="s">
        <v>1875</v>
      </c>
      <c r="J300" s="3" t="s">
        <v>1585</v>
      </c>
      <c r="K300" s="3"/>
      <c r="L300" s="3" t="s">
        <v>1855</v>
      </c>
      <c r="M300" s="3" t="s">
        <v>121</v>
      </c>
      <c r="N300" s="3" t="s">
        <v>1876</v>
      </c>
      <c r="O300" s="3" t="s">
        <v>183</v>
      </c>
      <c r="P300" s="3" t="s">
        <v>1694</v>
      </c>
    </row>
    <row r="301" customFormat="false" ht="46.25" hidden="false" customHeight="false" outlineLevel="0" collapsed="false">
      <c r="A301" s="2" t="s">
        <v>1766</v>
      </c>
      <c r="B301" s="2" t="s">
        <v>17</v>
      </c>
      <c r="C301" s="2" t="s">
        <v>1737</v>
      </c>
      <c r="D301" s="2" t="s">
        <v>539</v>
      </c>
      <c r="E301" s="2"/>
      <c r="F301" s="2" t="s">
        <v>1877</v>
      </c>
      <c r="G301" s="2" t="s">
        <v>1878</v>
      </c>
      <c r="H301" s="2" t="s">
        <v>240</v>
      </c>
      <c r="I301" s="2" t="s">
        <v>36</v>
      </c>
      <c r="J301" s="2" t="s">
        <v>1585</v>
      </c>
      <c r="K301" s="2" t="s">
        <v>1879</v>
      </c>
      <c r="L301" s="2" t="s">
        <v>1843</v>
      </c>
      <c r="M301" s="2" t="s">
        <v>46</v>
      </c>
      <c r="N301" s="2" t="s">
        <v>1844</v>
      </c>
      <c r="O301" s="2" t="s">
        <v>29</v>
      </c>
      <c r="P301" s="2" t="s">
        <v>1694</v>
      </c>
    </row>
    <row r="302" customFormat="false" ht="35.05" hidden="false" customHeight="false" outlineLevel="0" collapsed="false">
      <c r="A302" s="2" t="s">
        <v>1766</v>
      </c>
      <c r="B302" s="2" t="s">
        <v>17</v>
      </c>
      <c r="C302" s="2" t="s">
        <v>1880</v>
      </c>
      <c r="D302" s="2" t="s">
        <v>539</v>
      </c>
      <c r="E302" s="2"/>
      <c r="F302" s="2" t="s">
        <v>1881</v>
      </c>
      <c r="G302" s="2" t="s">
        <v>1882</v>
      </c>
      <c r="H302" s="2" t="s">
        <v>240</v>
      </c>
      <c r="I302" s="2" t="s">
        <v>24</v>
      </c>
      <c r="J302" s="2" t="s">
        <v>1585</v>
      </c>
      <c r="K302" s="2"/>
      <c r="L302" s="2" t="s">
        <v>1843</v>
      </c>
      <c r="M302" s="2" t="s">
        <v>46</v>
      </c>
      <c r="N302" s="2" t="s">
        <v>1844</v>
      </c>
      <c r="O302" s="2" t="s">
        <v>29</v>
      </c>
      <c r="P302" s="2" t="s">
        <v>1694</v>
      </c>
    </row>
    <row r="303" customFormat="false" ht="35.05" hidden="false" customHeight="false" outlineLevel="0" collapsed="false">
      <c r="A303" s="3" t="s">
        <v>1766</v>
      </c>
      <c r="B303" s="3" t="s">
        <v>17</v>
      </c>
      <c r="C303" s="3" t="s">
        <v>1695</v>
      </c>
      <c r="D303" s="3" t="s">
        <v>539</v>
      </c>
      <c r="E303" s="3"/>
      <c r="F303" s="3" t="s">
        <v>1883</v>
      </c>
      <c r="G303" s="3" t="s">
        <v>1884</v>
      </c>
      <c r="H303" s="3" t="s">
        <v>240</v>
      </c>
      <c r="I303" s="3" t="s">
        <v>345</v>
      </c>
      <c r="J303" s="3" t="s">
        <v>1585</v>
      </c>
      <c r="K303" s="3"/>
      <c r="L303" s="3" t="s">
        <v>1774</v>
      </c>
      <c r="M303" s="3" t="s">
        <v>243</v>
      </c>
      <c r="N303" s="3" t="s">
        <v>1775</v>
      </c>
      <c r="O303" s="3" t="s">
        <v>183</v>
      </c>
      <c r="P303" s="3" t="s">
        <v>1694</v>
      </c>
    </row>
    <row r="304" customFormat="false" ht="46.25" hidden="false" customHeight="false" outlineLevel="0" collapsed="false">
      <c r="A304" s="3" t="s">
        <v>1766</v>
      </c>
      <c r="B304" s="3" t="s">
        <v>17</v>
      </c>
      <c r="C304" s="3" t="s">
        <v>1885</v>
      </c>
      <c r="D304" s="3" t="s">
        <v>539</v>
      </c>
      <c r="E304" s="3"/>
      <c r="F304" s="3" t="s">
        <v>1886</v>
      </c>
      <c r="G304" s="3" t="s">
        <v>1887</v>
      </c>
      <c r="H304" s="3" t="s">
        <v>240</v>
      </c>
      <c r="I304" s="3" t="s">
        <v>1888</v>
      </c>
      <c r="J304" s="3" t="s">
        <v>1585</v>
      </c>
      <c r="K304" s="3" t="s">
        <v>1889</v>
      </c>
      <c r="L304" s="3" t="s">
        <v>1774</v>
      </c>
      <c r="M304" s="3" t="s">
        <v>243</v>
      </c>
      <c r="N304" s="3" t="s">
        <v>1775</v>
      </c>
      <c r="O304" s="3" t="s">
        <v>183</v>
      </c>
      <c r="P304" s="3" t="s">
        <v>1680</v>
      </c>
    </row>
    <row r="305" customFormat="false" ht="35.05" hidden="false" customHeight="false" outlineLevel="0" collapsed="false">
      <c r="A305" s="3" t="s">
        <v>1766</v>
      </c>
      <c r="B305" s="3" t="s">
        <v>17</v>
      </c>
      <c r="C305" s="3" t="s">
        <v>1890</v>
      </c>
      <c r="D305" s="3" t="s">
        <v>539</v>
      </c>
      <c r="E305" s="3"/>
      <c r="F305" s="3" t="s">
        <v>1891</v>
      </c>
      <c r="G305" s="3" t="s">
        <v>1892</v>
      </c>
      <c r="H305" s="3" t="s">
        <v>240</v>
      </c>
      <c r="I305" s="3" t="s">
        <v>226</v>
      </c>
      <c r="J305" s="3" t="s">
        <v>1585</v>
      </c>
      <c r="K305" s="3"/>
      <c r="L305" s="3" t="s">
        <v>1855</v>
      </c>
      <c r="M305" s="3" t="s">
        <v>121</v>
      </c>
      <c r="N305" s="3" t="s">
        <v>1876</v>
      </c>
      <c r="O305" s="3" t="s">
        <v>183</v>
      </c>
      <c r="P305" s="3" t="s">
        <v>1694</v>
      </c>
    </row>
    <row r="306" customFormat="false" ht="57.45" hidden="false" customHeight="false" outlineLevel="0" collapsed="false">
      <c r="A306" s="2" t="s">
        <v>1766</v>
      </c>
      <c r="B306" s="2" t="s">
        <v>17</v>
      </c>
      <c r="C306" s="2" t="s">
        <v>1893</v>
      </c>
      <c r="D306" s="2" t="s">
        <v>539</v>
      </c>
      <c r="E306" s="2"/>
      <c r="F306" s="2" t="s">
        <v>1894</v>
      </c>
      <c r="G306" s="2" t="s">
        <v>1895</v>
      </c>
      <c r="H306" s="2" t="s">
        <v>240</v>
      </c>
      <c r="I306" s="2" t="s">
        <v>1896</v>
      </c>
      <c r="J306" s="2" t="s">
        <v>1585</v>
      </c>
      <c r="K306" s="2" t="s">
        <v>1897</v>
      </c>
      <c r="L306" s="2" t="s">
        <v>1898</v>
      </c>
      <c r="M306" s="2" t="s">
        <v>46</v>
      </c>
      <c r="N306" s="2" t="s">
        <v>1899</v>
      </c>
      <c r="O306" s="2" t="s">
        <v>29</v>
      </c>
      <c r="P306" s="2" t="s">
        <v>1900</v>
      </c>
    </row>
    <row r="307" customFormat="false" ht="46.25" hidden="false" customHeight="false" outlineLevel="0" collapsed="false">
      <c r="A307" s="2" t="s">
        <v>1901</v>
      </c>
      <c r="B307" s="2" t="s">
        <v>17</v>
      </c>
      <c r="C307" s="2" t="s">
        <v>1902</v>
      </c>
      <c r="D307" s="2" t="s">
        <v>19</v>
      </c>
      <c r="E307" s="2"/>
      <c r="F307" s="2" t="s">
        <v>1903</v>
      </c>
      <c r="G307" s="2" t="s">
        <v>1904</v>
      </c>
      <c r="H307" s="2" t="s">
        <v>212</v>
      </c>
      <c r="I307" s="2" t="s">
        <v>763</v>
      </c>
      <c r="J307" s="2" t="s">
        <v>1905</v>
      </c>
      <c r="K307" s="2"/>
      <c r="L307" s="2" t="s">
        <v>1906</v>
      </c>
      <c r="M307" s="2" t="s">
        <v>27</v>
      </c>
      <c r="N307" s="2" t="s">
        <v>1907</v>
      </c>
      <c r="O307" s="2" t="s">
        <v>29</v>
      </c>
      <c r="P307" s="2" t="s">
        <v>1598</v>
      </c>
    </row>
    <row r="308" customFormat="false" ht="180.55" hidden="false" customHeight="false" outlineLevel="0" collapsed="false">
      <c r="A308" s="2" t="s">
        <v>1901</v>
      </c>
      <c r="B308" s="2" t="s">
        <v>17</v>
      </c>
      <c r="C308" s="2" t="s">
        <v>1908</v>
      </c>
      <c r="D308" s="2" t="s">
        <v>19</v>
      </c>
      <c r="E308" s="2" t="s">
        <v>20</v>
      </c>
      <c r="F308" s="2" t="s">
        <v>1909</v>
      </c>
      <c r="G308" s="2" t="s">
        <v>1910</v>
      </c>
      <c r="H308" s="2" t="s">
        <v>1911</v>
      </c>
      <c r="I308" s="2" t="s">
        <v>226</v>
      </c>
      <c r="J308" s="2" t="s">
        <v>1912</v>
      </c>
      <c r="K308" s="2"/>
      <c r="L308" s="2" t="s">
        <v>1913</v>
      </c>
      <c r="M308" s="2" t="s">
        <v>121</v>
      </c>
      <c r="N308" s="2" t="s">
        <v>1914</v>
      </c>
      <c r="O308" s="2" t="s">
        <v>29</v>
      </c>
      <c r="P308" s="2" t="s">
        <v>1915</v>
      </c>
    </row>
    <row r="309" customFormat="false" ht="68.65" hidden="false" customHeight="false" outlineLevel="0" collapsed="false">
      <c r="A309" s="2" t="s">
        <v>1901</v>
      </c>
      <c r="B309" s="2" t="s">
        <v>17</v>
      </c>
      <c r="C309" s="2" t="s">
        <v>1916</v>
      </c>
      <c r="D309" s="2" t="s">
        <v>19</v>
      </c>
      <c r="E309" s="2" t="s">
        <v>20</v>
      </c>
      <c r="F309" s="2" t="s">
        <v>1917</v>
      </c>
      <c r="G309" s="2" t="s">
        <v>1918</v>
      </c>
      <c r="H309" s="2" t="s">
        <v>23</v>
      </c>
      <c r="I309" s="2" t="s">
        <v>405</v>
      </c>
      <c r="J309" s="2" t="s">
        <v>25</v>
      </c>
      <c r="K309" s="2"/>
      <c r="L309" s="2" t="s">
        <v>1919</v>
      </c>
      <c r="M309" s="2" t="s">
        <v>27</v>
      </c>
      <c r="N309" s="2" t="s">
        <v>1920</v>
      </c>
      <c r="O309" s="2" t="s">
        <v>29</v>
      </c>
      <c r="P309" s="2" t="s">
        <v>1921</v>
      </c>
    </row>
    <row r="310" customFormat="false" ht="57.45" hidden="false" customHeight="false" outlineLevel="0" collapsed="false">
      <c r="A310" s="2" t="s">
        <v>1901</v>
      </c>
      <c r="B310" s="2" t="s">
        <v>169</v>
      </c>
      <c r="C310" s="2" t="s">
        <v>1922</v>
      </c>
      <c r="D310" s="2" t="s">
        <v>19</v>
      </c>
      <c r="E310" s="2" t="s">
        <v>20</v>
      </c>
      <c r="F310" s="2" t="s">
        <v>1923</v>
      </c>
      <c r="G310" s="2" t="s">
        <v>1924</v>
      </c>
      <c r="H310" s="2" t="s">
        <v>1925</v>
      </c>
      <c r="I310" s="2" t="s">
        <v>405</v>
      </c>
      <c r="J310" s="2" t="s">
        <v>25</v>
      </c>
      <c r="K310" s="2"/>
      <c r="L310" s="2" t="s">
        <v>1926</v>
      </c>
      <c r="M310" s="2" t="s">
        <v>27</v>
      </c>
      <c r="N310" s="2" t="s">
        <v>1927</v>
      </c>
      <c r="O310" s="2" t="s">
        <v>29</v>
      </c>
      <c r="P310" s="2" t="s">
        <v>1928</v>
      </c>
    </row>
    <row r="311" customFormat="false" ht="79.85" hidden="false" customHeight="false" outlineLevel="0" collapsed="false">
      <c r="A311" s="2" t="s">
        <v>1901</v>
      </c>
      <c r="B311" s="2" t="s">
        <v>17</v>
      </c>
      <c r="C311" s="2" t="s">
        <v>836</v>
      </c>
      <c r="D311" s="2" t="s">
        <v>50</v>
      </c>
      <c r="E311" s="2" t="s">
        <v>20</v>
      </c>
      <c r="F311" s="2" t="s">
        <v>1929</v>
      </c>
      <c r="G311" s="2" t="s">
        <v>1930</v>
      </c>
      <c r="H311" s="2" t="s">
        <v>1931</v>
      </c>
      <c r="I311" s="2" t="s">
        <v>1932</v>
      </c>
      <c r="J311" s="2" t="s">
        <v>1912</v>
      </c>
      <c r="K311" s="2"/>
      <c r="L311" s="2" t="s">
        <v>1933</v>
      </c>
      <c r="M311" s="2" t="s">
        <v>27</v>
      </c>
      <c r="N311" s="2" t="s">
        <v>1934</v>
      </c>
      <c r="O311" s="2" t="s">
        <v>29</v>
      </c>
      <c r="P311" s="2" t="s">
        <v>1935</v>
      </c>
    </row>
    <row r="312" customFormat="false" ht="57.45" hidden="false" customHeight="false" outlineLevel="0" collapsed="false">
      <c r="A312" s="2" t="s">
        <v>1901</v>
      </c>
      <c r="B312" s="2" t="s">
        <v>17</v>
      </c>
      <c r="C312" s="2" t="s">
        <v>1936</v>
      </c>
      <c r="D312" s="2" t="s">
        <v>50</v>
      </c>
      <c r="E312" s="2" t="s">
        <v>67</v>
      </c>
      <c r="F312" s="2" t="s">
        <v>1937</v>
      </c>
      <c r="G312" s="2" t="s">
        <v>1938</v>
      </c>
      <c r="H312" s="2" t="s">
        <v>35</v>
      </c>
      <c r="I312" s="2" t="s">
        <v>1939</v>
      </c>
      <c r="J312" s="2" t="s">
        <v>25</v>
      </c>
      <c r="K312" s="2"/>
      <c r="L312" s="2" t="s">
        <v>1940</v>
      </c>
      <c r="M312" s="2" t="s">
        <v>27</v>
      </c>
      <c r="N312" s="2" t="s">
        <v>1941</v>
      </c>
      <c r="O312" s="2" t="s">
        <v>29</v>
      </c>
      <c r="P312" s="2" t="s">
        <v>1942</v>
      </c>
    </row>
    <row r="313" customFormat="false" ht="91" hidden="false" customHeight="false" outlineLevel="0" collapsed="false">
      <c r="A313" s="2" t="s">
        <v>1901</v>
      </c>
      <c r="B313" s="2" t="s">
        <v>17</v>
      </c>
      <c r="C313" s="2" t="s">
        <v>836</v>
      </c>
      <c r="D313" s="2" t="s">
        <v>50</v>
      </c>
      <c r="E313" s="2" t="s">
        <v>20</v>
      </c>
      <c r="F313" s="2" t="s">
        <v>1943</v>
      </c>
      <c r="G313" s="2" t="s">
        <v>1944</v>
      </c>
      <c r="H313" s="2" t="s">
        <v>511</v>
      </c>
      <c r="I313" s="2" t="s">
        <v>1945</v>
      </c>
      <c r="J313" s="2" t="s">
        <v>1912</v>
      </c>
      <c r="K313" s="2"/>
      <c r="L313" s="2" t="s">
        <v>1946</v>
      </c>
      <c r="M313" s="2" t="s">
        <v>27</v>
      </c>
      <c r="N313" s="2" t="s">
        <v>1947</v>
      </c>
      <c r="O313" s="2" t="s">
        <v>29</v>
      </c>
      <c r="P313" s="2" t="s">
        <v>1948</v>
      </c>
    </row>
    <row r="314" customFormat="false" ht="79.85" hidden="false" customHeight="false" outlineLevel="0" collapsed="false">
      <c r="A314" s="2" t="s">
        <v>1901</v>
      </c>
      <c r="B314" s="2" t="s">
        <v>17</v>
      </c>
      <c r="C314" s="2" t="s">
        <v>88</v>
      </c>
      <c r="D314" s="2" t="s">
        <v>89</v>
      </c>
      <c r="E314" s="2" t="s">
        <v>20</v>
      </c>
      <c r="F314" s="2" t="s">
        <v>1949</v>
      </c>
      <c r="G314" s="2" t="s">
        <v>1950</v>
      </c>
      <c r="H314" s="2" t="s">
        <v>240</v>
      </c>
      <c r="I314" s="2" t="s">
        <v>226</v>
      </c>
      <c r="J314" s="2" t="s">
        <v>1912</v>
      </c>
      <c r="K314" s="2"/>
      <c r="L314" s="2" t="s">
        <v>1951</v>
      </c>
      <c r="M314" s="2" t="s">
        <v>27</v>
      </c>
      <c r="N314" s="2" t="s">
        <v>1952</v>
      </c>
      <c r="O314" s="2" t="s">
        <v>29</v>
      </c>
      <c r="P314" s="2" t="s">
        <v>785</v>
      </c>
    </row>
    <row r="315" customFormat="false" ht="191.75" hidden="false" customHeight="false" outlineLevel="0" collapsed="false">
      <c r="A315" s="2" t="s">
        <v>1901</v>
      </c>
      <c r="B315" s="2" t="s">
        <v>17</v>
      </c>
      <c r="C315" s="2" t="s">
        <v>88</v>
      </c>
      <c r="D315" s="2" t="s">
        <v>89</v>
      </c>
      <c r="E315" s="2" t="s">
        <v>20</v>
      </c>
      <c r="F315" s="2" t="s">
        <v>1953</v>
      </c>
      <c r="G315" s="2" t="s">
        <v>1954</v>
      </c>
      <c r="H315" s="2" t="s">
        <v>1955</v>
      </c>
      <c r="I315" s="2" t="s">
        <v>226</v>
      </c>
      <c r="J315" s="2" t="s">
        <v>1912</v>
      </c>
      <c r="K315" s="2" t="s">
        <v>1956</v>
      </c>
      <c r="L315" s="2" t="s">
        <v>1957</v>
      </c>
      <c r="M315" s="2" t="s">
        <v>121</v>
      </c>
      <c r="N315" s="2" t="s">
        <v>1958</v>
      </c>
      <c r="O315" s="2" t="s">
        <v>29</v>
      </c>
      <c r="P315" s="2" t="s">
        <v>1959</v>
      </c>
    </row>
    <row r="316" customFormat="false" ht="135.8" hidden="false" customHeight="false" outlineLevel="0" collapsed="false">
      <c r="A316" s="2" t="s">
        <v>1901</v>
      </c>
      <c r="B316" s="2" t="s">
        <v>17</v>
      </c>
      <c r="C316" s="2" t="s">
        <v>88</v>
      </c>
      <c r="D316" s="2" t="s">
        <v>89</v>
      </c>
      <c r="E316" s="2" t="s">
        <v>20</v>
      </c>
      <c r="F316" s="2" t="s">
        <v>1960</v>
      </c>
      <c r="G316" s="2" t="s">
        <v>1961</v>
      </c>
      <c r="H316" s="2" t="s">
        <v>1955</v>
      </c>
      <c r="I316" s="2" t="s">
        <v>226</v>
      </c>
      <c r="J316" s="2" t="s">
        <v>1912</v>
      </c>
      <c r="K316" s="2"/>
      <c r="L316" s="2" t="s">
        <v>1957</v>
      </c>
      <c r="M316" s="2" t="s">
        <v>121</v>
      </c>
      <c r="N316" s="2" t="s">
        <v>1958</v>
      </c>
      <c r="O316" s="2" t="s">
        <v>29</v>
      </c>
      <c r="P316" s="2" t="s">
        <v>1962</v>
      </c>
    </row>
    <row r="317" customFormat="false" ht="57.45" hidden="false" customHeight="false" outlineLevel="0" collapsed="false">
      <c r="A317" s="2" t="s">
        <v>1901</v>
      </c>
      <c r="B317" s="2" t="s">
        <v>17</v>
      </c>
      <c r="C317" s="2" t="s">
        <v>1963</v>
      </c>
      <c r="D317" s="2" t="s">
        <v>89</v>
      </c>
      <c r="E317" s="2" t="s">
        <v>20</v>
      </c>
      <c r="F317" s="2" t="s">
        <v>1964</v>
      </c>
      <c r="G317" s="2" t="s">
        <v>1965</v>
      </c>
      <c r="H317" s="2" t="s">
        <v>99</v>
      </c>
      <c r="I317" s="2" t="s">
        <v>405</v>
      </c>
      <c r="J317" s="2" t="s">
        <v>25</v>
      </c>
      <c r="K317" s="2"/>
      <c r="L317" s="2" t="s">
        <v>1966</v>
      </c>
      <c r="M317" s="2" t="s">
        <v>27</v>
      </c>
      <c r="N317" s="2" t="s">
        <v>1967</v>
      </c>
      <c r="O317" s="2" t="s">
        <v>29</v>
      </c>
      <c r="P317" s="2" t="s">
        <v>1968</v>
      </c>
    </row>
    <row r="318" customFormat="false" ht="46.25" hidden="false" customHeight="false" outlineLevel="0" collapsed="false">
      <c r="A318" s="3" t="s">
        <v>1901</v>
      </c>
      <c r="B318" s="3" t="s">
        <v>17</v>
      </c>
      <c r="C318" s="3" t="s">
        <v>1969</v>
      </c>
      <c r="D318" s="3" t="s">
        <v>89</v>
      </c>
      <c r="E318" s="3"/>
      <c r="F318" s="3" t="s">
        <v>1970</v>
      </c>
      <c r="G318" s="3" t="s">
        <v>1971</v>
      </c>
      <c r="H318" s="3" t="s">
        <v>99</v>
      </c>
      <c r="I318" s="3" t="s">
        <v>226</v>
      </c>
      <c r="J318" s="3" t="s">
        <v>1905</v>
      </c>
      <c r="K318" s="3"/>
      <c r="L318" s="3" t="s">
        <v>1855</v>
      </c>
      <c r="M318" s="3" t="s">
        <v>121</v>
      </c>
      <c r="N318" s="3" t="s">
        <v>1972</v>
      </c>
      <c r="O318" s="3" t="s">
        <v>183</v>
      </c>
      <c r="P318" s="3" t="s">
        <v>1973</v>
      </c>
    </row>
    <row r="319" customFormat="false" ht="79.85" hidden="false" customHeight="false" outlineLevel="0" collapsed="false">
      <c r="A319" s="2" t="s">
        <v>1901</v>
      </c>
      <c r="B319" s="2" t="s">
        <v>17</v>
      </c>
      <c r="C319" s="2" t="s">
        <v>88</v>
      </c>
      <c r="D319" s="2" t="s">
        <v>89</v>
      </c>
      <c r="E319" s="2" t="s">
        <v>20</v>
      </c>
      <c r="F319" s="2" t="s">
        <v>1974</v>
      </c>
      <c r="G319" s="2" t="s">
        <v>1975</v>
      </c>
      <c r="H319" s="2" t="s">
        <v>240</v>
      </c>
      <c r="I319" s="2" t="s">
        <v>226</v>
      </c>
      <c r="J319" s="2" t="s">
        <v>1912</v>
      </c>
      <c r="K319" s="2"/>
      <c r="L319" s="2" t="s">
        <v>1976</v>
      </c>
      <c r="M319" s="2" t="s">
        <v>27</v>
      </c>
      <c r="N319" s="2" t="s">
        <v>1977</v>
      </c>
      <c r="O319" s="2" t="s">
        <v>29</v>
      </c>
      <c r="P319" s="2" t="s">
        <v>785</v>
      </c>
    </row>
    <row r="320" customFormat="false" ht="102.2" hidden="false" customHeight="false" outlineLevel="0" collapsed="false">
      <c r="A320" s="2" t="s">
        <v>1901</v>
      </c>
      <c r="B320" s="2" t="s">
        <v>17</v>
      </c>
      <c r="C320" s="2" t="s">
        <v>88</v>
      </c>
      <c r="D320" s="2" t="s">
        <v>89</v>
      </c>
      <c r="E320" s="2" t="s">
        <v>20</v>
      </c>
      <c r="F320" s="2" t="s">
        <v>1978</v>
      </c>
      <c r="G320" s="2" t="s">
        <v>1979</v>
      </c>
      <c r="H320" s="2" t="s">
        <v>240</v>
      </c>
      <c r="I320" s="2" t="s">
        <v>233</v>
      </c>
      <c r="J320" s="2" t="s">
        <v>1912</v>
      </c>
      <c r="K320" s="2"/>
      <c r="L320" s="2" t="s">
        <v>1980</v>
      </c>
      <c r="M320" s="2" t="s">
        <v>27</v>
      </c>
      <c r="N320" s="2" t="s">
        <v>1981</v>
      </c>
      <c r="O320" s="2" t="s">
        <v>29</v>
      </c>
      <c r="P320" s="2" t="s">
        <v>1982</v>
      </c>
    </row>
    <row r="321" customFormat="false" ht="180.55" hidden="false" customHeight="false" outlineLevel="0" collapsed="false">
      <c r="A321" s="2" t="s">
        <v>1901</v>
      </c>
      <c r="B321" s="2" t="s">
        <v>17</v>
      </c>
      <c r="C321" s="2" t="s">
        <v>836</v>
      </c>
      <c r="D321" s="2" t="s">
        <v>139</v>
      </c>
      <c r="E321" s="2" t="s">
        <v>140</v>
      </c>
      <c r="F321" s="2" t="s">
        <v>1983</v>
      </c>
      <c r="G321" s="2" t="s">
        <v>1984</v>
      </c>
      <c r="H321" s="2" t="s">
        <v>1911</v>
      </c>
      <c r="I321" s="2" t="s">
        <v>1985</v>
      </c>
      <c r="J321" s="2" t="s">
        <v>1912</v>
      </c>
      <c r="K321" s="2"/>
      <c r="L321" s="2" t="s">
        <v>1986</v>
      </c>
      <c r="M321" s="2" t="s">
        <v>27</v>
      </c>
      <c r="N321" s="2" t="s">
        <v>1987</v>
      </c>
      <c r="O321" s="2" t="s">
        <v>29</v>
      </c>
      <c r="P321" s="2" t="s">
        <v>1988</v>
      </c>
    </row>
    <row r="322" customFormat="false" ht="79.85" hidden="false" customHeight="false" outlineLevel="0" collapsed="false">
      <c r="A322" s="2" t="s">
        <v>1901</v>
      </c>
      <c r="B322" s="2" t="s">
        <v>17</v>
      </c>
      <c r="C322" s="2" t="s">
        <v>836</v>
      </c>
      <c r="D322" s="2" t="s">
        <v>139</v>
      </c>
      <c r="E322" s="2" t="s">
        <v>140</v>
      </c>
      <c r="F322" s="2" t="s">
        <v>1989</v>
      </c>
      <c r="G322" s="2" t="s">
        <v>1990</v>
      </c>
      <c r="H322" s="2" t="s">
        <v>1931</v>
      </c>
      <c r="I322" s="2" t="s">
        <v>405</v>
      </c>
      <c r="J322" s="2" t="s">
        <v>1912</v>
      </c>
      <c r="K322" s="2" t="s">
        <v>1991</v>
      </c>
      <c r="L322" s="2" t="s">
        <v>1992</v>
      </c>
      <c r="M322" s="2" t="s">
        <v>27</v>
      </c>
      <c r="N322" s="2" t="s">
        <v>1993</v>
      </c>
      <c r="O322" s="2" t="s">
        <v>29</v>
      </c>
      <c r="P322" s="2" t="s">
        <v>1994</v>
      </c>
    </row>
    <row r="323" customFormat="false" ht="57.45" hidden="false" customHeight="false" outlineLevel="0" collapsed="false">
      <c r="A323" s="2" t="s">
        <v>1901</v>
      </c>
      <c r="B323" s="2" t="s">
        <v>31</v>
      </c>
      <c r="C323" s="2" t="s">
        <v>1995</v>
      </c>
      <c r="D323" s="2" t="s">
        <v>139</v>
      </c>
      <c r="E323" s="2" t="s">
        <v>140</v>
      </c>
      <c r="F323" s="2" t="s">
        <v>1996</v>
      </c>
      <c r="G323" s="2" t="s">
        <v>1997</v>
      </c>
      <c r="H323" s="2" t="s">
        <v>35</v>
      </c>
      <c r="I323" s="2" t="s">
        <v>405</v>
      </c>
      <c r="J323" s="2" t="s">
        <v>25</v>
      </c>
      <c r="K323" s="2"/>
      <c r="L323" s="2" t="s">
        <v>1998</v>
      </c>
      <c r="M323" s="2" t="s">
        <v>27</v>
      </c>
      <c r="N323" s="2" t="s">
        <v>1999</v>
      </c>
      <c r="O323" s="2" t="s">
        <v>29</v>
      </c>
      <c r="P323" s="2" t="s">
        <v>2000</v>
      </c>
    </row>
    <row r="324" customFormat="false" ht="57.45" hidden="false" customHeight="false" outlineLevel="0" collapsed="false">
      <c r="A324" s="3" t="s">
        <v>1901</v>
      </c>
      <c r="B324" s="3" t="s">
        <v>31</v>
      </c>
      <c r="C324" s="3" t="s">
        <v>2001</v>
      </c>
      <c r="D324" s="3" t="s">
        <v>139</v>
      </c>
      <c r="E324" s="3" t="s">
        <v>140</v>
      </c>
      <c r="F324" s="3" t="s">
        <v>2002</v>
      </c>
      <c r="G324" s="3" t="s">
        <v>2003</v>
      </c>
      <c r="H324" s="3" t="s">
        <v>35</v>
      </c>
      <c r="I324" s="3" t="s">
        <v>36</v>
      </c>
      <c r="J324" s="3" t="s">
        <v>25</v>
      </c>
      <c r="K324" s="3"/>
      <c r="L324" s="3" t="s">
        <v>2004</v>
      </c>
      <c r="M324" s="3" t="s">
        <v>121</v>
      </c>
      <c r="N324" s="3" t="s">
        <v>2005</v>
      </c>
      <c r="O324" s="3" t="s">
        <v>183</v>
      </c>
      <c r="P324" s="3" t="s">
        <v>2006</v>
      </c>
    </row>
    <row r="325" customFormat="false" ht="91" hidden="false" customHeight="false" outlineLevel="0" collapsed="false">
      <c r="A325" s="2" t="s">
        <v>1901</v>
      </c>
      <c r="B325" s="2" t="s">
        <v>17</v>
      </c>
      <c r="C325" s="2" t="s">
        <v>836</v>
      </c>
      <c r="D325" s="2" t="s">
        <v>139</v>
      </c>
      <c r="E325" s="2" t="s">
        <v>140</v>
      </c>
      <c r="F325" s="2" t="s">
        <v>2007</v>
      </c>
      <c r="G325" s="2" t="s">
        <v>2008</v>
      </c>
      <c r="H325" s="2" t="s">
        <v>1931</v>
      </c>
      <c r="I325" s="2" t="s">
        <v>2009</v>
      </c>
      <c r="J325" s="2" t="s">
        <v>1912</v>
      </c>
      <c r="K325" s="2"/>
      <c r="L325" s="2" t="s">
        <v>2010</v>
      </c>
      <c r="M325" s="2" t="s">
        <v>27</v>
      </c>
      <c r="N325" s="2" t="s">
        <v>2011</v>
      </c>
      <c r="O325" s="2" t="s">
        <v>29</v>
      </c>
      <c r="P325" s="2" t="s">
        <v>2012</v>
      </c>
    </row>
    <row r="326" customFormat="false" ht="57.45" hidden="false" customHeight="false" outlineLevel="0" collapsed="false">
      <c r="A326" s="2" t="s">
        <v>1901</v>
      </c>
      <c r="B326" s="2" t="s">
        <v>169</v>
      </c>
      <c r="C326" s="2" t="s">
        <v>2013</v>
      </c>
      <c r="D326" s="2" t="s">
        <v>193</v>
      </c>
      <c r="E326" s="2" t="s">
        <v>20</v>
      </c>
      <c r="F326" s="2" t="s">
        <v>2014</v>
      </c>
      <c r="G326" s="2" t="s">
        <v>2015</v>
      </c>
      <c r="H326" s="2" t="s">
        <v>2016</v>
      </c>
      <c r="I326" s="2" t="s">
        <v>1056</v>
      </c>
      <c r="J326" s="2" t="s">
        <v>25</v>
      </c>
      <c r="K326" s="2"/>
      <c r="L326" s="2" t="s">
        <v>1966</v>
      </c>
      <c r="M326" s="2" t="s">
        <v>27</v>
      </c>
      <c r="N326" s="2" t="s">
        <v>2017</v>
      </c>
      <c r="O326" s="2" t="s">
        <v>29</v>
      </c>
      <c r="P326" s="2" t="s">
        <v>2018</v>
      </c>
    </row>
    <row r="327" customFormat="false" ht="79.85" hidden="false" customHeight="false" outlineLevel="0" collapsed="false">
      <c r="A327" s="2" t="s">
        <v>1901</v>
      </c>
      <c r="B327" s="2" t="s">
        <v>17</v>
      </c>
      <c r="C327" s="2" t="s">
        <v>883</v>
      </c>
      <c r="D327" s="2" t="s">
        <v>193</v>
      </c>
      <c r="E327" s="2" t="s">
        <v>20</v>
      </c>
      <c r="F327" s="2" t="s">
        <v>1966</v>
      </c>
      <c r="G327" s="2" t="s">
        <v>2019</v>
      </c>
      <c r="H327" s="2" t="s">
        <v>2020</v>
      </c>
      <c r="I327" s="2" t="s">
        <v>226</v>
      </c>
      <c r="J327" s="2" t="s">
        <v>1912</v>
      </c>
      <c r="K327" s="2"/>
      <c r="L327" s="2" t="s">
        <v>2021</v>
      </c>
      <c r="M327" s="2" t="s">
        <v>27</v>
      </c>
      <c r="N327" s="2" t="s">
        <v>2022</v>
      </c>
      <c r="O327" s="2" t="s">
        <v>29</v>
      </c>
      <c r="P327" s="2" t="s">
        <v>215</v>
      </c>
    </row>
    <row r="328" customFormat="false" ht="68.65" hidden="false" customHeight="false" outlineLevel="0" collapsed="false">
      <c r="A328" s="2" t="s">
        <v>1901</v>
      </c>
      <c r="B328" s="2" t="s">
        <v>288</v>
      </c>
      <c r="C328" s="2" t="s">
        <v>2023</v>
      </c>
      <c r="D328" s="2" t="s">
        <v>193</v>
      </c>
      <c r="E328" s="2" t="s">
        <v>67</v>
      </c>
      <c r="F328" s="2" t="s">
        <v>2024</v>
      </c>
      <c r="G328" s="2" t="s">
        <v>2025</v>
      </c>
      <c r="H328" s="2" t="s">
        <v>2026</v>
      </c>
      <c r="I328" s="2" t="s">
        <v>2027</v>
      </c>
      <c r="J328" s="2" t="s">
        <v>25</v>
      </c>
      <c r="K328" s="2"/>
      <c r="L328" s="2" t="s">
        <v>2028</v>
      </c>
      <c r="M328" s="2" t="s">
        <v>27</v>
      </c>
      <c r="N328" s="2" t="s">
        <v>2029</v>
      </c>
      <c r="O328" s="2" t="s">
        <v>29</v>
      </c>
      <c r="P328" s="2" t="s">
        <v>2030</v>
      </c>
    </row>
    <row r="329" customFormat="false" ht="214.15" hidden="false" customHeight="false" outlineLevel="0" collapsed="false">
      <c r="A329" s="2" t="s">
        <v>1901</v>
      </c>
      <c r="B329" s="2" t="s">
        <v>17</v>
      </c>
      <c r="C329" s="2" t="s">
        <v>883</v>
      </c>
      <c r="D329" s="2" t="s">
        <v>193</v>
      </c>
      <c r="E329" s="2" t="s">
        <v>20</v>
      </c>
      <c r="F329" s="2" t="s">
        <v>2031</v>
      </c>
      <c r="G329" s="2" t="s">
        <v>2032</v>
      </c>
      <c r="H329" s="2" t="s">
        <v>2033</v>
      </c>
      <c r="I329" s="2" t="s">
        <v>226</v>
      </c>
      <c r="J329" s="2" t="s">
        <v>1912</v>
      </c>
      <c r="K329" s="2" t="s">
        <v>2034</v>
      </c>
      <c r="L329" s="2" t="s">
        <v>2035</v>
      </c>
      <c r="M329" s="2" t="s">
        <v>121</v>
      </c>
      <c r="N329" s="2" t="s">
        <v>2036</v>
      </c>
      <c r="O329" s="2" t="s">
        <v>29</v>
      </c>
      <c r="P329" s="2" t="s">
        <v>2037</v>
      </c>
    </row>
    <row r="330" customFormat="false" ht="35.05" hidden="false" customHeight="false" outlineLevel="0" collapsed="false">
      <c r="A330" s="2" t="s">
        <v>1901</v>
      </c>
      <c r="B330" s="2" t="s">
        <v>31</v>
      </c>
      <c r="C330" s="2" t="s">
        <v>883</v>
      </c>
      <c r="D330" s="2" t="s">
        <v>193</v>
      </c>
      <c r="E330" s="2"/>
      <c r="F330" s="2" t="s">
        <v>2038</v>
      </c>
      <c r="G330" s="2" t="s">
        <v>2039</v>
      </c>
      <c r="H330" s="2" t="s">
        <v>2040</v>
      </c>
      <c r="I330" s="2" t="s">
        <v>1888</v>
      </c>
      <c r="J330" s="2" t="s">
        <v>1905</v>
      </c>
      <c r="K330" s="2"/>
      <c r="L330" s="2" t="s">
        <v>2041</v>
      </c>
      <c r="M330" s="2" t="s">
        <v>46</v>
      </c>
      <c r="N330" s="2" t="s">
        <v>2042</v>
      </c>
      <c r="O330" s="2" t="s">
        <v>29</v>
      </c>
      <c r="P330" s="2" t="s">
        <v>1598</v>
      </c>
    </row>
    <row r="331" customFormat="false" ht="102.2" hidden="false" customHeight="false" outlineLevel="0" collapsed="false">
      <c r="A331" s="2" t="s">
        <v>1901</v>
      </c>
      <c r="B331" s="2" t="s">
        <v>17</v>
      </c>
      <c r="C331" s="2" t="s">
        <v>883</v>
      </c>
      <c r="D331" s="2" t="s">
        <v>193</v>
      </c>
      <c r="E331" s="2" t="s">
        <v>20</v>
      </c>
      <c r="F331" s="2" t="s">
        <v>2043</v>
      </c>
      <c r="G331" s="2" t="s">
        <v>2044</v>
      </c>
      <c r="H331" s="2" t="s">
        <v>2020</v>
      </c>
      <c r="I331" s="2" t="s">
        <v>226</v>
      </c>
      <c r="J331" s="2" t="s">
        <v>1912</v>
      </c>
      <c r="K331" s="2" t="s">
        <v>2045</v>
      </c>
      <c r="L331" s="2" t="s">
        <v>2046</v>
      </c>
      <c r="M331" s="2" t="s">
        <v>27</v>
      </c>
      <c r="N331" s="2" t="s">
        <v>2047</v>
      </c>
      <c r="O331" s="2" t="s">
        <v>29</v>
      </c>
      <c r="P331" s="2" t="s">
        <v>2048</v>
      </c>
    </row>
    <row r="332" customFormat="false" ht="35.05" hidden="false" customHeight="false" outlineLevel="0" collapsed="false">
      <c r="A332" s="3" t="s">
        <v>1901</v>
      </c>
      <c r="B332" s="3" t="s">
        <v>31</v>
      </c>
      <c r="C332" s="3" t="s">
        <v>883</v>
      </c>
      <c r="D332" s="3" t="s">
        <v>193</v>
      </c>
      <c r="E332" s="3"/>
      <c r="F332" s="3" t="s">
        <v>2049</v>
      </c>
      <c r="G332" s="3" t="s">
        <v>2050</v>
      </c>
      <c r="H332" s="3" t="s">
        <v>212</v>
      </c>
      <c r="I332" s="3" t="s">
        <v>226</v>
      </c>
      <c r="J332" s="3" t="s">
        <v>1905</v>
      </c>
      <c r="K332" s="3"/>
      <c r="L332" s="3" t="s">
        <v>2051</v>
      </c>
      <c r="M332" s="3" t="s">
        <v>121</v>
      </c>
      <c r="N332" s="3" t="s">
        <v>2052</v>
      </c>
      <c r="O332" s="3" t="s">
        <v>183</v>
      </c>
      <c r="P332" s="3" t="s">
        <v>1598</v>
      </c>
    </row>
    <row r="333" customFormat="false" ht="79.85" hidden="false" customHeight="false" outlineLevel="0" collapsed="false">
      <c r="A333" s="2" t="s">
        <v>1901</v>
      </c>
      <c r="B333" s="2" t="s">
        <v>17</v>
      </c>
      <c r="C333" s="2" t="s">
        <v>883</v>
      </c>
      <c r="D333" s="2" t="s">
        <v>193</v>
      </c>
      <c r="E333" s="2" t="s">
        <v>20</v>
      </c>
      <c r="F333" s="2" t="s">
        <v>2053</v>
      </c>
      <c r="G333" s="2" t="s">
        <v>2054</v>
      </c>
      <c r="H333" s="2" t="s">
        <v>43</v>
      </c>
      <c r="I333" s="2" t="s">
        <v>1888</v>
      </c>
      <c r="J333" s="2" t="s">
        <v>1912</v>
      </c>
      <c r="K333" s="2" t="s">
        <v>2055</v>
      </c>
      <c r="L333" s="2" t="s">
        <v>2056</v>
      </c>
      <c r="M333" s="2" t="s">
        <v>46</v>
      </c>
      <c r="N333" s="2" t="s">
        <v>2057</v>
      </c>
      <c r="O333" s="2" t="s">
        <v>29</v>
      </c>
      <c r="P333" s="2" t="s">
        <v>2058</v>
      </c>
    </row>
    <row r="334" customFormat="false" ht="57.45" hidden="false" customHeight="false" outlineLevel="0" collapsed="false">
      <c r="A334" s="2" t="s">
        <v>1901</v>
      </c>
      <c r="B334" s="2" t="s">
        <v>17</v>
      </c>
      <c r="C334" s="2" t="s">
        <v>2059</v>
      </c>
      <c r="D334" s="2" t="s">
        <v>247</v>
      </c>
      <c r="E334" s="2" t="s">
        <v>20</v>
      </c>
      <c r="F334" s="2" t="s">
        <v>2060</v>
      </c>
      <c r="G334" s="2" t="s">
        <v>2061</v>
      </c>
      <c r="H334" s="2" t="s">
        <v>2062</v>
      </c>
      <c r="I334" s="2" t="s">
        <v>405</v>
      </c>
      <c r="J334" s="2" t="s">
        <v>25</v>
      </c>
      <c r="K334" s="2"/>
      <c r="L334" s="2" t="s">
        <v>2063</v>
      </c>
      <c r="M334" s="2" t="s">
        <v>27</v>
      </c>
      <c r="N334" s="2" t="s">
        <v>2064</v>
      </c>
      <c r="O334" s="2" t="s">
        <v>29</v>
      </c>
      <c r="P334" s="2" t="s">
        <v>2065</v>
      </c>
    </row>
    <row r="335" customFormat="false" ht="68.65" hidden="false" customHeight="false" outlineLevel="0" collapsed="false">
      <c r="A335" s="2" t="s">
        <v>1901</v>
      </c>
      <c r="B335" s="2" t="s">
        <v>254</v>
      </c>
      <c r="C335" s="2" t="s">
        <v>2066</v>
      </c>
      <c r="D335" s="2" t="s">
        <v>247</v>
      </c>
      <c r="E335" s="2" t="s">
        <v>20</v>
      </c>
      <c r="F335" s="2" t="s">
        <v>2067</v>
      </c>
      <c r="G335" s="2" t="s">
        <v>2068</v>
      </c>
      <c r="H335" s="2" t="s">
        <v>2069</v>
      </c>
      <c r="I335" s="2" t="s">
        <v>2070</v>
      </c>
      <c r="J335" s="2" t="s">
        <v>25</v>
      </c>
      <c r="K335" s="2"/>
      <c r="L335" s="2" t="s">
        <v>2071</v>
      </c>
      <c r="M335" s="2" t="s">
        <v>46</v>
      </c>
      <c r="N335" s="2" t="s">
        <v>2072</v>
      </c>
      <c r="O335" s="2" t="s">
        <v>29</v>
      </c>
      <c r="P335" s="2" t="s">
        <v>2073</v>
      </c>
    </row>
    <row r="336" customFormat="false" ht="57.45" hidden="false" customHeight="false" outlineLevel="0" collapsed="false">
      <c r="A336" s="2" t="s">
        <v>1901</v>
      </c>
      <c r="B336" s="2" t="s">
        <v>31</v>
      </c>
      <c r="C336" s="2" t="s">
        <v>2074</v>
      </c>
      <c r="D336" s="2" t="s">
        <v>247</v>
      </c>
      <c r="E336" s="2" t="s">
        <v>20</v>
      </c>
      <c r="F336" s="2" t="s">
        <v>2075</v>
      </c>
      <c r="G336" s="2" t="s">
        <v>2076</v>
      </c>
      <c r="H336" s="2" t="s">
        <v>1132</v>
      </c>
      <c r="I336" s="2" t="s">
        <v>405</v>
      </c>
      <c r="J336" s="2" t="s">
        <v>25</v>
      </c>
      <c r="K336" s="2"/>
      <c r="L336" s="2" t="s">
        <v>2077</v>
      </c>
      <c r="M336" s="2" t="s">
        <v>27</v>
      </c>
      <c r="N336" s="2" t="s">
        <v>2078</v>
      </c>
      <c r="O336" s="2" t="s">
        <v>29</v>
      </c>
      <c r="P336" s="2" t="s">
        <v>2079</v>
      </c>
    </row>
    <row r="337" customFormat="false" ht="68.65" hidden="false" customHeight="false" outlineLevel="0" collapsed="false">
      <c r="A337" s="2" t="s">
        <v>1901</v>
      </c>
      <c r="B337" s="2" t="s">
        <v>31</v>
      </c>
      <c r="C337" s="2" t="s">
        <v>2080</v>
      </c>
      <c r="D337" s="2" t="s">
        <v>247</v>
      </c>
      <c r="E337" s="2" t="s">
        <v>67</v>
      </c>
      <c r="F337" s="2" t="s">
        <v>2081</v>
      </c>
      <c r="G337" s="2" t="s">
        <v>2082</v>
      </c>
      <c r="H337" s="2" t="s">
        <v>2083</v>
      </c>
      <c r="I337" s="2" t="s">
        <v>36</v>
      </c>
      <c r="J337" s="2" t="s">
        <v>25</v>
      </c>
      <c r="K337" s="2"/>
      <c r="L337" s="2" t="s">
        <v>2084</v>
      </c>
      <c r="M337" s="2" t="s">
        <v>27</v>
      </c>
      <c r="N337" s="2" t="s">
        <v>2085</v>
      </c>
      <c r="O337" s="2" t="s">
        <v>29</v>
      </c>
      <c r="P337" s="2" t="s">
        <v>2086</v>
      </c>
    </row>
    <row r="338" customFormat="false" ht="68.65" hidden="false" customHeight="false" outlineLevel="0" collapsed="false">
      <c r="A338" s="2" t="s">
        <v>1901</v>
      </c>
      <c r="B338" s="2" t="s">
        <v>65</v>
      </c>
      <c r="C338" s="2" t="s">
        <v>2087</v>
      </c>
      <c r="D338" s="2" t="s">
        <v>247</v>
      </c>
      <c r="E338" s="2" t="s">
        <v>67</v>
      </c>
      <c r="F338" s="2" t="s">
        <v>2088</v>
      </c>
      <c r="G338" s="2" t="s">
        <v>2089</v>
      </c>
      <c r="H338" s="2" t="s">
        <v>2090</v>
      </c>
      <c r="I338" s="2" t="s">
        <v>2091</v>
      </c>
      <c r="J338" s="2" t="s">
        <v>25</v>
      </c>
      <c r="K338" s="2"/>
      <c r="L338" s="2" t="s">
        <v>2092</v>
      </c>
      <c r="M338" s="2" t="s">
        <v>46</v>
      </c>
      <c r="N338" s="2" t="s">
        <v>2093</v>
      </c>
      <c r="O338" s="2" t="s">
        <v>29</v>
      </c>
      <c r="P338" s="2" t="s">
        <v>2094</v>
      </c>
    </row>
    <row r="339" customFormat="false" ht="57.45" hidden="false" customHeight="false" outlineLevel="0" collapsed="false">
      <c r="A339" s="2" t="s">
        <v>1901</v>
      </c>
      <c r="B339" s="2" t="s">
        <v>17</v>
      </c>
      <c r="C339" s="2" t="s">
        <v>2095</v>
      </c>
      <c r="D339" s="2" t="s">
        <v>320</v>
      </c>
      <c r="E339" s="2"/>
      <c r="F339" s="2" t="s">
        <v>2096</v>
      </c>
      <c r="G339" s="2" t="s">
        <v>2097</v>
      </c>
      <c r="H339" s="2" t="s">
        <v>2098</v>
      </c>
      <c r="I339" s="2" t="s">
        <v>1693</v>
      </c>
      <c r="J339" s="2" t="s">
        <v>1905</v>
      </c>
      <c r="K339" s="2"/>
      <c r="L339" s="2" t="s">
        <v>598</v>
      </c>
      <c r="M339" s="2" t="s">
        <v>46</v>
      </c>
      <c r="N339" s="2" t="s">
        <v>2099</v>
      </c>
      <c r="O339" s="2" t="s">
        <v>29</v>
      </c>
      <c r="P339" s="2" t="s">
        <v>2100</v>
      </c>
    </row>
    <row r="340" customFormat="false" ht="46.25" hidden="false" customHeight="false" outlineLevel="0" collapsed="false">
      <c r="A340" s="2" t="s">
        <v>1901</v>
      </c>
      <c r="B340" s="2" t="s">
        <v>17</v>
      </c>
      <c r="C340" s="2" t="s">
        <v>349</v>
      </c>
      <c r="D340" s="2" t="s">
        <v>320</v>
      </c>
      <c r="E340" s="2"/>
      <c r="F340" s="2" t="s">
        <v>2101</v>
      </c>
      <c r="G340" s="2" t="s">
        <v>2102</v>
      </c>
      <c r="H340" s="2" t="s">
        <v>2103</v>
      </c>
      <c r="I340" s="2" t="s">
        <v>359</v>
      </c>
      <c r="J340" s="2" t="s">
        <v>1905</v>
      </c>
      <c r="K340" s="2"/>
      <c r="L340" s="2" t="s">
        <v>2104</v>
      </c>
      <c r="M340" s="2" t="s">
        <v>27</v>
      </c>
      <c r="N340" s="2" t="s">
        <v>2105</v>
      </c>
      <c r="O340" s="2" t="s">
        <v>29</v>
      </c>
      <c r="P340" s="2" t="s">
        <v>1629</v>
      </c>
    </row>
    <row r="341" customFormat="false" ht="46.25" hidden="false" customHeight="false" outlineLevel="0" collapsed="false">
      <c r="A341" s="2" t="s">
        <v>1901</v>
      </c>
      <c r="B341" s="2" t="s">
        <v>17</v>
      </c>
      <c r="C341" s="2" t="s">
        <v>2106</v>
      </c>
      <c r="D341" s="2" t="s">
        <v>320</v>
      </c>
      <c r="E341" s="2" t="s">
        <v>20</v>
      </c>
      <c r="F341" s="2" t="s">
        <v>2107</v>
      </c>
      <c r="G341" s="2" t="s">
        <v>2108</v>
      </c>
      <c r="H341" s="2" t="s">
        <v>511</v>
      </c>
      <c r="I341" s="2" t="s">
        <v>36</v>
      </c>
      <c r="J341" s="2" t="s">
        <v>1912</v>
      </c>
      <c r="K341" s="2" t="s">
        <v>2109</v>
      </c>
      <c r="L341" s="2" t="s">
        <v>2110</v>
      </c>
      <c r="M341" s="2" t="s">
        <v>46</v>
      </c>
      <c r="N341" s="2" t="s">
        <v>2111</v>
      </c>
      <c r="O341" s="2" t="s">
        <v>29</v>
      </c>
      <c r="P341" s="2" t="s">
        <v>2112</v>
      </c>
    </row>
    <row r="342" customFormat="false" ht="46.25" hidden="false" customHeight="false" outlineLevel="0" collapsed="false">
      <c r="A342" s="2" t="s">
        <v>1901</v>
      </c>
      <c r="B342" s="2" t="s">
        <v>17</v>
      </c>
      <c r="C342" s="2" t="s">
        <v>349</v>
      </c>
      <c r="D342" s="2" t="s">
        <v>320</v>
      </c>
      <c r="E342" s="2"/>
      <c r="F342" s="2" t="s">
        <v>2113</v>
      </c>
      <c r="G342" s="2" t="s">
        <v>2114</v>
      </c>
      <c r="H342" s="2" t="s">
        <v>364</v>
      </c>
      <c r="I342" s="2" t="s">
        <v>36</v>
      </c>
      <c r="J342" s="2" t="s">
        <v>1905</v>
      </c>
      <c r="K342" s="2"/>
      <c r="L342" s="2" t="s">
        <v>2115</v>
      </c>
      <c r="M342" s="2" t="s">
        <v>46</v>
      </c>
      <c r="N342" s="2" t="s">
        <v>2116</v>
      </c>
      <c r="O342" s="2" t="s">
        <v>29</v>
      </c>
      <c r="P342" s="2" t="s">
        <v>1629</v>
      </c>
    </row>
    <row r="343" customFormat="false" ht="102.2" hidden="false" customHeight="false" outlineLevel="0" collapsed="false">
      <c r="A343" s="2" t="s">
        <v>1901</v>
      </c>
      <c r="B343" s="2" t="s">
        <v>17</v>
      </c>
      <c r="C343" s="2" t="s">
        <v>349</v>
      </c>
      <c r="D343" s="2" t="s">
        <v>320</v>
      </c>
      <c r="E343" s="2" t="s">
        <v>20</v>
      </c>
      <c r="F343" s="2" t="s">
        <v>2117</v>
      </c>
      <c r="G343" s="2" t="s">
        <v>2118</v>
      </c>
      <c r="H343" s="2" t="s">
        <v>511</v>
      </c>
      <c r="I343" s="2" t="s">
        <v>825</v>
      </c>
      <c r="J343" s="2" t="s">
        <v>1912</v>
      </c>
      <c r="K343" s="2"/>
      <c r="L343" s="2" t="s">
        <v>2119</v>
      </c>
      <c r="M343" s="2" t="s">
        <v>46</v>
      </c>
      <c r="N343" s="2" t="s">
        <v>2111</v>
      </c>
      <c r="O343" s="2" t="s">
        <v>29</v>
      </c>
      <c r="P343" s="2" t="s">
        <v>2120</v>
      </c>
    </row>
    <row r="344" customFormat="false" ht="46.25" hidden="false" customHeight="false" outlineLevel="0" collapsed="false">
      <c r="A344" s="2" t="s">
        <v>1901</v>
      </c>
      <c r="B344" s="2" t="s">
        <v>17</v>
      </c>
      <c r="C344" s="2" t="s">
        <v>2121</v>
      </c>
      <c r="D344" s="2" t="s">
        <v>320</v>
      </c>
      <c r="E344" s="2"/>
      <c r="F344" s="2" t="s">
        <v>2122</v>
      </c>
      <c r="G344" s="2" t="s">
        <v>2123</v>
      </c>
      <c r="H344" s="2" t="s">
        <v>2124</v>
      </c>
      <c r="I344" s="2" t="s">
        <v>359</v>
      </c>
      <c r="J344" s="2" t="s">
        <v>1905</v>
      </c>
      <c r="K344" s="2"/>
      <c r="L344" s="2" t="s">
        <v>2125</v>
      </c>
      <c r="M344" s="2" t="s">
        <v>121</v>
      </c>
      <c r="N344" s="2" t="s">
        <v>2126</v>
      </c>
      <c r="O344" s="2" t="s">
        <v>29</v>
      </c>
      <c r="P344" s="2" t="s">
        <v>1629</v>
      </c>
    </row>
    <row r="345" customFormat="false" ht="113.4" hidden="false" customHeight="false" outlineLevel="0" collapsed="false">
      <c r="A345" s="2" t="s">
        <v>1901</v>
      </c>
      <c r="B345" s="2" t="s">
        <v>17</v>
      </c>
      <c r="C345" s="2" t="s">
        <v>349</v>
      </c>
      <c r="D345" s="2" t="s">
        <v>320</v>
      </c>
      <c r="E345" s="2" t="s">
        <v>20</v>
      </c>
      <c r="F345" s="2" t="s">
        <v>2127</v>
      </c>
      <c r="G345" s="2" t="s">
        <v>2128</v>
      </c>
      <c r="H345" s="2" t="s">
        <v>1029</v>
      </c>
      <c r="I345" s="2" t="s">
        <v>1945</v>
      </c>
      <c r="J345" s="2" t="s">
        <v>1912</v>
      </c>
      <c r="K345" s="2"/>
      <c r="L345" s="2" t="s">
        <v>2129</v>
      </c>
      <c r="M345" s="2" t="s">
        <v>46</v>
      </c>
      <c r="N345" s="2" t="s">
        <v>2130</v>
      </c>
      <c r="O345" s="2" t="s">
        <v>29</v>
      </c>
      <c r="P345" s="2" t="s">
        <v>2131</v>
      </c>
    </row>
    <row r="346" customFormat="false" ht="57.45" hidden="false" customHeight="false" outlineLevel="0" collapsed="false">
      <c r="A346" s="3" t="s">
        <v>1901</v>
      </c>
      <c r="B346" s="3" t="s">
        <v>17</v>
      </c>
      <c r="C346" s="3" t="s">
        <v>2132</v>
      </c>
      <c r="D346" s="3" t="s">
        <v>320</v>
      </c>
      <c r="E346" s="3"/>
      <c r="F346" s="3" t="s">
        <v>2133</v>
      </c>
      <c r="G346" s="3" t="s">
        <v>2134</v>
      </c>
      <c r="H346" s="3" t="s">
        <v>983</v>
      </c>
      <c r="I346" s="3" t="s">
        <v>460</v>
      </c>
      <c r="J346" s="3" t="s">
        <v>1905</v>
      </c>
      <c r="K346" s="3"/>
      <c r="L346" s="3" t="s">
        <v>2135</v>
      </c>
      <c r="M346" s="3" t="s">
        <v>243</v>
      </c>
      <c r="N346" s="3" t="s">
        <v>2136</v>
      </c>
      <c r="O346" s="3" t="s">
        <v>183</v>
      </c>
      <c r="P346" s="3" t="s">
        <v>2137</v>
      </c>
    </row>
    <row r="347" customFormat="false" ht="57.45" hidden="false" customHeight="false" outlineLevel="0" collapsed="false">
      <c r="A347" s="2" t="s">
        <v>1901</v>
      </c>
      <c r="B347" s="2" t="s">
        <v>17</v>
      </c>
      <c r="C347" s="2" t="s">
        <v>349</v>
      </c>
      <c r="D347" s="2" t="s">
        <v>320</v>
      </c>
      <c r="E347" s="2"/>
      <c r="F347" s="2" t="s">
        <v>2138</v>
      </c>
      <c r="G347" s="2" t="s">
        <v>2139</v>
      </c>
      <c r="H347" s="2" t="s">
        <v>2140</v>
      </c>
      <c r="I347" s="2" t="s">
        <v>2141</v>
      </c>
      <c r="J347" s="2" t="s">
        <v>1905</v>
      </c>
      <c r="K347" s="2"/>
      <c r="L347" s="2" t="s">
        <v>2115</v>
      </c>
      <c r="M347" s="2" t="s">
        <v>46</v>
      </c>
      <c r="N347" s="2" t="s">
        <v>2116</v>
      </c>
      <c r="O347" s="2" t="s">
        <v>29</v>
      </c>
      <c r="P347" s="2" t="s">
        <v>1629</v>
      </c>
    </row>
    <row r="348" customFormat="false" ht="79.85" hidden="false" customHeight="false" outlineLevel="0" collapsed="false">
      <c r="A348" s="2" t="s">
        <v>1901</v>
      </c>
      <c r="B348" s="2" t="s">
        <v>17</v>
      </c>
      <c r="C348" s="2" t="s">
        <v>2142</v>
      </c>
      <c r="D348" s="2" t="s">
        <v>320</v>
      </c>
      <c r="E348" s="2" t="s">
        <v>20</v>
      </c>
      <c r="F348" s="2" t="s">
        <v>2143</v>
      </c>
      <c r="G348" s="2" t="s">
        <v>2144</v>
      </c>
      <c r="H348" s="2" t="s">
        <v>2145</v>
      </c>
      <c r="I348" s="2" t="s">
        <v>359</v>
      </c>
      <c r="J348" s="2" t="s">
        <v>25</v>
      </c>
      <c r="K348" s="2"/>
      <c r="L348" s="2" t="s">
        <v>2104</v>
      </c>
      <c r="M348" s="2" t="s">
        <v>160</v>
      </c>
      <c r="N348" s="2" t="s">
        <v>2105</v>
      </c>
      <c r="O348" s="2" t="s">
        <v>29</v>
      </c>
      <c r="P348" s="2" t="s">
        <v>2146</v>
      </c>
    </row>
    <row r="349" customFormat="false" ht="57.45" hidden="false" customHeight="false" outlineLevel="0" collapsed="false">
      <c r="A349" s="2" t="s">
        <v>1901</v>
      </c>
      <c r="B349" s="2" t="s">
        <v>254</v>
      </c>
      <c r="C349" s="2" t="s">
        <v>2147</v>
      </c>
      <c r="D349" s="2" t="s">
        <v>320</v>
      </c>
      <c r="E349" s="2" t="s">
        <v>20</v>
      </c>
      <c r="F349" s="2" t="s">
        <v>2148</v>
      </c>
      <c r="G349" s="2" t="s">
        <v>2149</v>
      </c>
      <c r="H349" s="2" t="s">
        <v>1064</v>
      </c>
      <c r="I349" s="2" t="s">
        <v>2150</v>
      </c>
      <c r="J349" s="2" t="s">
        <v>25</v>
      </c>
      <c r="K349" s="2"/>
      <c r="L349" s="2" t="s">
        <v>2151</v>
      </c>
      <c r="M349" s="2" t="s">
        <v>160</v>
      </c>
      <c r="N349" s="2" t="s">
        <v>2152</v>
      </c>
      <c r="O349" s="2" t="s">
        <v>29</v>
      </c>
      <c r="P349" s="2" t="s">
        <v>2153</v>
      </c>
    </row>
    <row r="350" customFormat="false" ht="102.2" hidden="false" customHeight="false" outlineLevel="0" collapsed="false">
      <c r="A350" s="2" t="s">
        <v>1901</v>
      </c>
      <c r="B350" s="2" t="s">
        <v>31</v>
      </c>
      <c r="C350" s="2" t="s">
        <v>397</v>
      </c>
      <c r="D350" s="2" t="s">
        <v>390</v>
      </c>
      <c r="E350" s="2" t="s">
        <v>20</v>
      </c>
      <c r="F350" s="2" t="s">
        <v>2154</v>
      </c>
      <c r="G350" s="2" t="s">
        <v>2155</v>
      </c>
      <c r="H350" s="2" t="s">
        <v>2020</v>
      </c>
      <c r="I350" s="2" t="s">
        <v>226</v>
      </c>
      <c r="J350" s="2" t="s">
        <v>1912</v>
      </c>
      <c r="K350" s="2"/>
      <c r="L350" s="2" t="s">
        <v>2156</v>
      </c>
      <c r="M350" s="2" t="s">
        <v>27</v>
      </c>
      <c r="N350" s="2" t="s">
        <v>2157</v>
      </c>
      <c r="O350" s="2" t="s">
        <v>29</v>
      </c>
      <c r="P350" s="2" t="s">
        <v>2158</v>
      </c>
    </row>
    <row r="351" customFormat="false" ht="102.2" hidden="false" customHeight="false" outlineLevel="0" collapsed="false">
      <c r="A351" s="2" t="s">
        <v>1901</v>
      </c>
      <c r="B351" s="2" t="s">
        <v>31</v>
      </c>
      <c r="C351" s="2" t="s">
        <v>397</v>
      </c>
      <c r="D351" s="2" t="s">
        <v>390</v>
      </c>
      <c r="E351" s="2" t="s">
        <v>20</v>
      </c>
      <c r="F351" s="2" t="s">
        <v>2159</v>
      </c>
      <c r="G351" s="2" t="s">
        <v>2160</v>
      </c>
      <c r="H351" s="2" t="s">
        <v>2020</v>
      </c>
      <c r="I351" s="2" t="s">
        <v>226</v>
      </c>
      <c r="J351" s="2" t="s">
        <v>1912</v>
      </c>
      <c r="K351" s="2"/>
      <c r="L351" s="2" t="s">
        <v>2156</v>
      </c>
      <c r="M351" s="2" t="s">
        <v>27</v>
      </c>
      <c r="N351" s="2" t="s">
        <v>2161</v>
      </c>
      <c r="O351" s="2" t="s">
        <v>29</v>
      </c>
      <c r="P351" s="2" t="s">
        <v>2162</v>
      </c>
    </row>
    <row r="352" customFormat="false" ht="102.2" hidden="false" customHeight="false" outlineLevel="0" collapsed="false">
      <c r="A352" s="2" t="s">
        <v>1901</v>
      </c>
      <c r="B352" s="2" t="s">
        <v>31</v>
      </c>
      <c r="C352" s="2" t="s">
        <v>397</v>
      </c>
      <c r="D352" s="2" t="s">
        <v>390</v>
      </c>
      <c r="E352" s="2" t="s">
        <v>20</v>
      </c>
      <c r="F352" s="2" t="s">
        <v>2163</v>
      </c>
      <c r="G352" s="2" t="s">
        <v>2164</v>
      </c>
      <c r="H352" s="2" t="s">
        <v>2020</v>
      </c>
      <c r="I352" s="2" t="s">
        <v>226</v>
      </c>
      <c r="J352" s="2" t="s">
        <v>1912</v>
      </c>
      <c r="K352" s="2"/>
      <c r="L352" s="2" t="s">
        <v>2165</v>
      </c>
      <c r="M352" s="2" t="s">
        <v>27</v>
      </c>
      <c r="N352" s="2" t="s">
        <v>2166</v>
      </c>
      <c r="O352" s="2" t="s">
        <v>29</v>
      </c>
      <c r="P352" s="2" t="s">
        <v>2167</v>
      </c>
    </row>
    <row r="353" customFormat="false" ht="102.2" hidden="false" customHeight="false" outlineLevel="0" collapsed="false">
      <c r="A353" s="2" t="s">
        <v>1901</v>
      </c>
      <c r="B353" s="2" t="s">
        <v>31</v>
      </c>
      <c r="C353" s="2" t="s">
        <v>397</v>
      </c>
      <c r="D353" s="2" t="s">
        <v>390</v>
      </c>
      <c r="E353" s="2" t="s">
        <v>20</v>
      </c>
      <c r="F353" s="2" t="s">
        <v>2168</v>
      </c>
      <c r="G353" s="2" t="s">
        <v>2169</v>
      </c>
      <c r="H353" s="2" t="s">
        <v>2020</v>
      </c>
      <c r="I353" s="2" t="s">
        <v>763</v>
      </c>
      <c r="J353" s="2" t="s">
        <v>1912</v>
      </c>
      <c r="K353" s="2"/>
      <c r="L353" s="2" t="s">
        <v>2170</v>
      </c>
      <c r="M353" s="2" t="s">
        <v>27</v>
      </c>
      <c r="N353" s="2" t="s">
        <v>2171</v>
      </c>
      <c r="O353" s="2" t="s">
        <v>29</v>
      </c>
      <c r="P353" s="2" t="s">
        <v>2172</v>
      </c>
    </row>
    <row r="354" customFormat="false" ht="57.45" hidden="false" customHeight="false" outlineLevel="0" collapsed="false">
      <c r="A354" s="3" t="s">
        <v>1901</v>
      </c>
      <c r="B354" s="3" t="s">
        <v>17</v>
      </c>
      <c r="C354" s="3" t="s">
        <v>2173</v>
      </c>
      <c r="D354" s="3" t="s">
        <v>539</v>
      </c>
      <c r="E354" s="3"/>
      <c r="F354" s="3" t="s">
        <v>2174</v>
      </c>
      <c r="G354" s="3" t="s">
        <v>2175</v>
      </c>
      <c r="H354" s="3" t="s">
        <v>240</v>
      </c>
      <c r="I354" s="3" t="s">
        <v>127</v>
      </c>
      <c r="J354" s="3" t="s">
        <v>1905</v>
      </c>
      <c r="K354" s="3"/>
      <c r="L354" s="3" t="s">
        <v>1855</v>
      </c>
      <c r="M354" s="3" t="s">
        <v>121</v>
      </c>
      <c r="N354" s="3" t="s">
        <v>1972</v>
      </c>
      <c r="O354" s="3" t="s">
        <v>183</v>
      </c>
      <c r="P354" s="3" t="s">
        <v>2176</v>
      </c>
    </row>
    <row r="355" customFormat="false" ht="57.45" hidden="false" customHeight="false" outlineLevel="0" collapsed="false">
      <c r="A355" s="2" t="s">
        <v>1901</v>
      </c>
      <c r="B355" s="2" t="s">
        <v>65</v>
      </c>
      <c r="C355" s="2" t="s">
        <v>2177</v>
      </c>
      <c r="D355" s="2" t="s">
        <v>539</v>
      </c>
      <c r="E355" s="2" t="s">
        <v>593</v>
      </c>
      <c r="F355" s="2" t="s">
        <v>2178</v>
      </c>
      <c r="G355" s="2" t="s">
        <v>2179</v>
      </c>
      <c r="H355" s="2" t="s">
        <v>609</v>
      </c>
      <c r="I355" s="2" t="s">
        <v>738</v>
      </c>
      <c r="J355" s="2" t="s">
        <v>25</v>
      </c>
      <c r="K355" s="2" t="s">
        <v>1275</v>
      </c>
      <c r="L355" s="2" t="s">
        <v>746</v>
      </c>
      <c r="M355" s="2" t="s">
        <v>46</v>
      </c>
      <c r="N355" s="2" t="s">
        <v>2180</v>
      </c>
      <c r="O355" s="2" t="s">
        <v>29</v>
      </c>
      <c r="P355" s="2" t="s">
        <v>2181</v>
      </c>
    </row>
    <row r="356" customFormat="false" ht="46.25" hidden="false" customHeight="false" outlineLevel="0" collapsed="false">
      <c r="A356" s="3" t="s">
        <v>1901</v>
      </c>
      <c r="B356" s="3" t="s">
        <v>17</v>
      </c>
      <c r="C356" s="3" t="s">
        <v>2182</v>
      </c>
      <c r="D356" s="3" t="s">
        <v>539</v>
      </c>
      <c r="E356" s="3"/>
      <c r="F356" s="3" t="s">
        <v>2183</v>
      </c>
      <c r="G356" s="3" t="s">
        <v>2184</v>
      </c>
      <c r="H356" s="3" t="s">
        <v>240</v>
      </c>
      <c r="I356" s="3" t="s">
        <v>226</v>
      </c>
      <c r="J356" s="3" t="s">
        <v>1905</v>
      </c>
      <c r="K356" s="3"/>
      <c r="L356" s="3" t="s">
        <v>1781</v>
      </c>
      <c r="M356" s="3" t="s">
        <v>121</v>
      </c>
      <c r="N356" s="3" t="s">
        <v>2185</v>
      </c>
      <c r="O356" s="3" t="s">
        <v>183</v>
      </c>
      <c r="P356" s="3" t="s">
        <v>1680</v>
      </c>
    </row>
    <row r="357" customFormat="false" ht="57.45" hidden="false" customHeight="false" outlineLevel="0" collapsed="false">
      <c r="A357" s="2" t="s">
        <v>1901</v>
      </c>
      <c r="B357" s="2" t="s">
        <v>65</v>
      </c>
      <c r="C357" s="2" t="s">
        <v>2186</v>
      </c>
      <c r="D357" s="2" t="s">
        <v>539</v>
      </c>
      <c r="E357" s="2" t="s">
        <v>593</v>
      </c>
      <c r="F357" s="2" t="s">
        <v>2187</v>
      </c>
      <c r="G357" s="2" t="s">
        <v>2188</v>
      </c>
      <c r="H357" s="2" t="s">
        <v>240</v>
      </c>
      <c r="I357" s="2" t="s">
        <v>520</v>
      </c>
      <c r="J357" s="2" t="s">
        <v>25</v>
      </c>
      <c r="K357" s="2" t="s">
        <v>93</v>
      </c>
      <c r="L357" s="2" t="s">
        <v>2189</v>
      </c>
      <c r="M357" s="2" t="s">
        <v>46</v>
      </c>
      <c r="N357" s="2" t="s">
        <v>2190</v>
      </c>
      <c r="O357" s="2" t="s">
        <v>29</v>
      </c>
      <c r="P357" s="2" t="s">
        <v>2191</v>
      </c>
    </row>
    <row r="358" customFormat="false" ht="46.25" hidden="false" customHeight="false" outlineLevel="0" collapsed="false">
      <c r="A358" s="3" t="s">
        <v>1901</v>
      </c>
      <c r="B358" s="3" t="s">
        <v>31</v>
      </c>
      <c r="C358" s="3" t="s">
        <v>2192</v>
      </c>
      <c r="D358" s="3" t="s">
        <v>539</v>
      </c>
      <c r="E358" s="3"/>
      <c r="F358" s="3" t="s">
        <v>2193</v>
      </c>
      <c r="G358" s="3" t="s">
        <v>2194</v>
      </c>
      <c r="H358" s="3" t="s">
        <v>240</v>
      </c>
      <c r="I358" s="3" t="s">
        <v>226</v>
      </c>
      <c r="J358" s="3" t="s">
        <v>1905</v>
      </c>
      <c r="K358" s="3"/>
      <c r="L358" s="3" t="s">
        <v>2195</v>
      </c>
      <c r="M358" s="3" t="s">
        <v>121</v>
      </c>
      <c r="N358" s="3" t="s">
        <v>2196</v>
      </c>
      <c r="O358" s="3" t="s">
        <v>183</v>
      </c>
      <c r="P358" s="3" t="s">
        <v>1749</v>
      </c>
    </row>
    <row r="359" customFormat="false" ht="147" hidden="false" customHeight="false" outlineLevel="0" collapsed="false">
      <c r="A359" s="2" t="s">
        <v>1901</v>
      </c>
      <c r="B359" s="2" t="s">
        <v>17</v>
      </c>
      <c r="C359" s="2" t="s">
        <v>1284</v>
      </c>
      <c r="D359" s="2" t="s">
        <v>539</v>
      </c>
      <c r="E359" s="2" t="s">
        <v>67</v>
      </c>
      <c r="F359" s="2" t="s">
        <v>2197</v>
      </c>
      <c r="G359" s="2" t="s">
        <v>2198</v>
      </c>
      <c r="H359" s="2" t="s">
        <v>240</v>
      </c>
      <c r="I359" s="2" t="s">
        <v>1888</v>
      </c>
      <c r="J359" s="2" t="s">
        <v>1912</v>
      </c>
      <c r="K359" s="2" t="s">
        <v>93</v>
      </c>
      <c r="L359" s="2" t="s">
        <v>2199</v>
      </c>
      <c r="M359" s="2" t="s">
        <v>121</v>
      </c>
      <c r="N359" s="2" t="s">
        <v>2200</v>
      </c>
      <c r="O359" s="2" t="s">
        <v>29</v>
      </c>
      <c r="P359" s="2" t="s">
        <v>2201</v>
      </c>
    </row>
    <row r="360" customFormat="false" ht="147" hidden="false" customHeight="false" outlineLevel="0" collapsed="false">
      <c r="A360" s="2" t="s">
        <v>1901</v>
      </c>
      <c r="B360" s="2" t="s">
        <v>17</v>
      </c>
      <c r="C360" s="2" t="s">
        <v>2202</v>
      </c>
      <c r="D360" s="2" t="s">
        <v>539</v>
      </c>
      <c r="E360" s="2" t="s">
        <v>67</v>
      </c>
      <c r="F360" s="2" t="s">
        <v>2203</v>
      </c>
      <c r="G360" s="2" t="s">
        <v>2204</v>
      </c>
      <c r="H360" s="2" t="s">
        <v>240</v>
      </c>
      <c r="I360" s="2" t="s">
        <v>1693</v>
      </c>
      <c r="J360" s="2" t="s">
        <v>1912</v>
      </c>
      <c r="K360" s="2" t="s">
        <v>2205</v>
      </c>
      <c r="L360" s="2" t="s">
        <v>2199</v>
      </c>
      <c r="M360" s="2" t="s">
        <v>121</v>
      </c>
      <c r="N360" s="2" t="s">
        <v>2200</v>
      </c>
      <c r="O360" s="2" t="s">
        <v>29</v>
      </c>
      <c r="P360" s="2" t="s">
        <v>2206</v>
      </c>
    </row>
    <row r="361" customFormat="false" ht="46.25" hidden="false" customHeight="false" outlineLevel="0" collapsed="false">
      <c r="A361" s="2" t="s">
        <v>1901</v>
      </c>
      <c r="B361" s="2" t="s">
        <v>17</v>
      </c>
      <c r="C361" s="2" t="s">
        <v>2207</v>
      </c>
      <c r="D361" s="2" t="s">
        <v>539</v>
      </c>
      <c r="E361" s="2" t="s">
        <v>593</v>
      </c>
      <c r="F361" s="2" t="s">
        <v>2208</v>
      </c>
      <c r="G361" s="2" t="s">
        <v>2209</v>
      </c>
      <c r="H361" s="2" t="s">
        <v>609</v>
      </c>
      <c r="I361" s="2" t="s">
        <v>2210</v>
      </c>
      <c r="J361" s="2" t="s">
        <v>1912</v>
      </c>
      <c r="K361" s="2" t="s">
        <v>1275</v>
      </c>
      <c r="L361" s="2" t="s">
        <v>598</v>
      </c>
      <c r="M361" s="2" t="s">
        <v>46</v>
      </c>
      <c r="N361" s="2" t="s">
        <v>2211</v>
      </c>
      <c r="O361" s="2" t="s">
        <v>29</v>
      </c>
      <c r="P361" s="2" t="s">
        <v>2212</v>
      </c>
    </row>
    <row r="362" customFormat="false" ht="79.85" hidden="false" customHeight="false" outlineLevel="0" collapsed="false">
      <c r="A362" s="2" t="s">
        <v>1901</v>
      </c>
      <c r="B362" s="2" t="s">
        <v>169</v>
      </c>
      <c r="C362" s="2" t="s">
        <v>2213</v>
      </c>
      <c r="D362" s="2" t="s">
        <v>539</v>
      </c>
      <c r="E362" s="2" t="s">
        <v>67</v>
      </c>
      <c r="F362" s="2" t="s">
        <v>2214</v>
      </c>
      <c r="G362" s="2" t="s">
        <v>2215</v>
      </c>
      <c r="H362" s="2" t="s">
        <v>240</v>
      </c>
      <c r="I362" s="2" t="s">
        <v>359</v>
      </c>
      <c r="J362" s="2" t="s">
        <v>25</v>
      </c>
      <c r="K362" s="2" t="s">
        <v>93</v>
      </c>
      <c r="L362" s="2" t="s">
        <v>1966</v>
      </c>
      <c r="M362" s="2" t="s">
        <v>27</v>
      </c>
      <c r="N362" s="2" t="s">
        <v>2216</v>
      </c>
      <c r="O362" s="2" t="s">
        <v>29</v>
      </c>
      <c r="P362" s="2" t="s">
        <v>2217</v>
      </c>
    </row>
    <row r="363" customFormat="false" ht="46.25" hidden="false" customHeight="false" outlineLevel="0" collapsed="false">
      <c r="A363" s="2" t="s">
        <v>1901</v>
      </c>
      <c r="B363" s="2" t="s">
        <v>31</v>
      </c>
      <c r="C363" s="2" t="s">
        <v>2218</v>
      </c>
      <c r="D363" s="2" t="s">
        <v>539</v>
      </c>
      <c r="E363" s="2" t="s">
        <v>593</v>
      </c>
      <c r="F363" s="2" t="s">
        <v>2219</v>
      </c>
      <c r="G363" s="2" t="s">
        <v>2220</v>
      </c>
      <c r="H363" s="2" t="s">
        <v>609</v>
      </c>
      <c r="I363" s="2" t="s">
        <v>1056</v>
      </c>
      <c r="J363" s="2" t="s">
        <v>25</v>
      </c>
      <c r="K363" s="2" t="s">
        <v>2221</v>
      </c>
      <c r="L363" s="2" t="s">
        <v>242</v>
      </c>
      <c r="M363" s="2" t="s">
        <v>46</v>
      </c>
      <c r="N363" s="2" t="s">
        <v>2222</v>
      </c>
      <c r="O363" s="2" t="s">
        <v>29</v>
      </c>
      <c r="P363" s="2" t="s">
        <v>2223</v>
      </c>
    </row>
    <row r="364" customFormat="false" ht="68.65" hidden="false" customHeight="false" outlineLevel="0" collapsed="false">
      <c r="A364" s="2" t="s">
        <v>1901</v>
      </c>
      <c r="B364" s="2" t="s">
        <v>17</v>
      </c>
      <c r="C364" s="2" t="s">
        <v>1284</v>
      </c>
      <c r="D364" s="2" t="s">
        <v>539</v>
      </c>
      <c r="E364" s="2" t="s">
        <v>593</v>
      </c>
      <c r="F364" s="2" t="s">
        <v>2224</v>
      </c>
      <c r="G364" s="2" t="s">
        <v>2225</v>
      </c>
      <c r="H364" s="2" t="s">
        <v>240</v>
      </c>
      <c r="I364" s="2" t="s">
        <v>1693</v>
      </c>
      <c r="J364" s="2" t="s">
        <v>1912</v>
      </c>
      <c r="K364" s="2" t="s">
        <v>2221</v>
      </c>
      <c r="L364" s="2" t="s">
        <v>2226</v>
      </c>
      <c r="M364" s="2" t="s">
        <v>27</v>
      </c>
      <c r="N364" s="2" t="s">
        <v>2227</v>
      </c>
      <c r="O364" s="2" t="s">
        <v>29</v>
      </c>
      <c r="P364" s="2" t="s">
        <v>2228</v>
      </c>
    </row>
    <row r="365" customFormat="false" ht="91" hidden="false" customHeight="false" outlineLevel="0" collapsed="false">
      <c r="A365" s="2" t="s">
        <v>1901</v>
      </c>
      <c r="B365" s="2" t="s">
        <v>169</v>
      </c>
      <c r="C365" s="2" t="s">
        <v>2229</v>
      </c>
      <c r="D365" s="2" t="s">
        <v>539</v>
      </c>
      <c r="E365" s="2" t="s">
        <v>67</v>
      </c>
      <c r="F365" s="2" t="s">
        <v>2230</v>
      </c>
      <c r="G365" s="2" t="s">
        <v>2231</v>
      </c>
      <c r="H365" s="2" t="s">
        <v>240</v>
      </c>
      <c r="I365" s="2" t="s">
        <v>144</v>
      </c>
      <c r="J365" s="2" t="s">
        <v>25</v>
      </c>
      <c r="K365" s="2" t="s">
        <v>93</v>
      </c>
      <c r="L365" s="2" t="s">
        <v>2232</v>
      </c>
      <c r="M365" s="2" t="s">
        <v>46</v>
      </c>
      <c r="N365" s="2" t="s">
        <v>2233</v>
      </c>
      <c r="O365" s="2" t="s">
        <v>29</v>
      </c>
      <c r="P365" s="2" t="s">
        <v>2234</v>
      </c>
    </row>
    <row r="366" customFormat="false" ht="102.2" hidden="false" customHeight="false" outlineLevel="0" collapsed="false">
      <c r="A366" s="2" t="s">
        <v>1901</v>
      </c>
      <c r="B366" s="2" t="s">
        <v>65</v>
      </c>
      <c r="C366" s="2" t="s">
        <v>1295</v>
      </c>
      <c r="D366" s="2" t="s">
        <v>539</v>
      </c>
      <c r="E366" s="2" t="s">
        <v>20</v>
      </c>
      <c r="F366" s="2" t="s">
        <v>2235</v>
      </c>
      <c r="G366" s="2" t="s">
        <v>2236</v>
      </c>
      <c r="H366" s="2" t="s">
        <v>240</v>
      </c>
      <c r="I366" s="2" t="s">
        <v>1888</v>
      </c>
      <c r="J366" s="2" t="s">
        <v>1912</v>
      </c>
      <c r="K366" s="2" t="s">
        <v>2237</v>
      </c>
      <c r="L366" s="2" t="s">
        <v>2238</v>
      </c>
      <c r="M366" s="2" t="s">
        <v>27</v>
      </c>
      <c r="N366" s="2" t="s">
        <v>2239</v>
      </c>
      <c r="O366" s="2" t="s">
        <v>29</v>
      </c>
      <c r="P366" s="2" t="s">
        <v>2240</v>
      </c>
    </row>
    <row r="367" customFormat="false" ht="57.45" hidden="false" customHeight="false" outlineLevel="0" collapsed="false">
      <c r="A367" s="2" t="s">
        <v>1901</v>
      </c>
      <c r="B367" s="2" t="s">
        <v>17</v>
      </c>
      <c r="C367" s="2" t="s">
        <v>2241</v>
      </c>
      <c r="D367" s="2" t="s">
        <v>539</v>
      </c>
      <c r="E367" s="2" t="s">
        <v>20</v>
      </c>
      <c r="F367" s="2" t="s">
        <v>2242</v>
      </c>
      <c r="G367" s="2" t="s">
        <v>2243</v>
      </c>
      <c r="H367" s="2" t="s">
        <v>2244</v>
      </c>
      <c r="I367" s="2" t="s">
        <v>345</v>
      </c>
      <c r="J367" s="2" t="s">
        <v>25</v>
      </c>
      <c r="K367" s="2"/>
      <c r="L367" s="2" t="s">
        <v>867</v>
      </c>
      <c r="M367" s="2" t="s">
        <v>46</v>
      </c>
      <c r="N367" s="2" t="s">
        <v>2245</v>
      </c>
      <c r="O367" s="2" t="s">
        <v>29</v>
      </c>
      <c r="P367" s="2" t="s">
        <v>2246</v>
      </c>
    </row>
    <row r="368" customFormat="false" ht="91" hidden="false" customHeight="false" outlineLevel="0" collapsed="false">
      <c r="A368" s="2" t="s">
        <v>1901</v>
      </c>
      <c r="B368" s="2" t="s">
        <v>17</v>
      </c>
      <c r="C368" s="2" t="s">
        <v>2247</v>
      </c>
      <c r="D368" s="2" t="s">
        <v>539</v>
      </c>
      <c r="E368" s="2" t="s">
        <v>67</v>
      </c>
      <c r="F368" s="2" t="s">
        <v>2248</v>
      </c>
      <c r="G368" s="2" t="s">
        <v>2249</v>
      </c>
      <c r="H368" s="2" t="s">
        <v>240</v>
      </c>
      <c r="I368" s="2" t="s">
        <v>2250</v>
      </c>
      <c r="J368" s="2" t="s">
        <v>1912</v>
      </c>
      <c r="K368" s="2"/>
      <c r="L368" s="2" t="s">
        <v>2251</v>
      </c>
      <c r="M368" s="2" t="s">
        <v>27</v>
      </c>
      <c r="N368" s="2" t="s">
        <v>2252</v>
      </c>
      <c r="O368" s="2" t="s">
        <v>29</v>
      </c>
      <c r="P368" s="2" t="s">
        <v>2253</v>
      </c>
    </row>
    <row r="369" customFormat="false" ht="57.45" hidden="false" customHeight="false" outlineLevel="0" collapsed="false">
      <c r="A369" s="2" t="s">
        <v>1901</v>
      </c>
      <c r="B369" s="2" t="s">
        <v>17</v>
      </c>
      <c r="C369" s="2" t="s">
        <v>2254</v>
      </c>
      <c r="D369" s="2" t="s">
        <v>539</v>
      </c>
      <c r="E369" s="2" t="s">
        <v>20</v>
      </c>
      <c r="F369" s="2" t="s">
        <v>2255</v>
      </c>
      <c r="G369" s="2" t="s">
        <v>2256</v>
      </c>
      <c r="H369" s="2" t="s">
        <v>2257</v>
      </c>
      <c r="I369" s="2" t="s">
        <v>2258</v>
      </c>
      <c r="J369" s="2" t="s">
        <v>25</v>
      </c>
      <c r="K369" s="2" t="s">
        <v>93</v>
      </c>
      <c r="L369" s="2" t="s">
        <v>598</v>
      </c>
      <c r="M369" s="2" t="s">
        <v>46</v>
      </c>
      <c r="N369" s="2" t="s">
        <v>2259</v>
      </c>
      <c r="O369" s="2" t="s">
        <v>29</v>
      </c>
      <c r="P369" s="2" t="s">
        <v>2260</v>
      </c>
    </row>
    <row r="370" customFormat="false" ht="57.45" hidden="false" customHeight="false" outlineLevel="0" collapsed="false">
      <c r="A370" s="3" t="s">
        <v>1901</v>
      </c>
      <c r="B370" s="3" t="s">
        <v>17</v>
      </c>
      <c r="C370" s="3" t="s">
        <v>2261</v>
      </c>
      <c r="D370" s="3" t="s">
        <v>539</v>
      </c>
      <c r="E370" s="3"/>
      <c r="F370" s="3" t="s">
        <v>2262</v>
      </c>
      <c r="G370" s="3" t="s">
        <v>2263</v>
      </c>
      <c r="H370" s="3" t="s">
        <v>240</v>
      </c>
      <c r="I370" s="3" t="s">
        <v>226</v>
      </c>
      <c r="J370" s="3" t="s">
        <v>1905</v>
      </c>
      <c r="K370" s="3"/>
      <c r="L370" s="3" t="s">
        <v>1781</v>
      </c>
      <c r="M370" s="3" t="s">
        <v>121</v>
      </c>
      <c r="N370" s="3" t="s">
        <v>2185</v>
      </c>
      <c r="O370" s="3" t="s">
        <v>183</v>
      </c>
      <c r="P370" s="3" t="s">
        <v>2264</v>
      </c>
    </row>
    <row r="371" customFormat="false" ht="147" hidden="false" customHeight="false" outlineLevel="0" collapsed="false">
      <c r="A371" s="2" t="s">
        <v>1901</v>
      </c>
      <c r="B371" s="2" t="s">
        <v>17</v>
      </c>
      <c r="C371" s="2" t="s">
        <v>2265</v>
      </c>
      <c r="D371" s="2" t="s">
        <v>539</v>
      </c>
      <c r="E371" s="2" t="s">
        <v>67</v>
      </c>
      <c r="F371" s="2" t="s">
        <v>2266</v>
      </c>
      <c r="G371" s="2" t="s">
        <v>2267</v>
      </c>
      <c r="H371" s="2" t="s">
        <v>240</v>
      </c>
      <c r="I371" s="2" t="s">
        <v>520</v>
      </c>
      <c r="J371" s="2" t="s">
        <v>1912</v>
      </c>
      <c r="K371" s="2" t="s">
        <v>93</v>
      </c>
      <c r="L371" s="2" t="s">
        <v>2268</v>
      </c>
      <c r="M371" s="2" t="s">
        <v>121</v>
      </c>
      <c r="N371" s="2" t="s">
        <v>2269</v>
      </c>
      <c r="O371" s="2" t="s">
        <v>29</v>
      </c>
      <c r="P371" s="2" t="s">
        <v>2270</v>
      </c>
    </row>
    <row r="372" customFormat="false" ht="57.45" hidden="false" customHeight="false" outlineLevel="0" collapsed="false">
      <c r="A372" s="2" t="s">
        <v>1901</v>
      </c>
      <c r="B372" s="2" t="s">
        <v>288</v>
      </c>
      <c r="C372" s="2" t="s">
        <v>2271</v>
      </c>
      <c r="D372" s="2" t="s">
        <v>539</v>
      </c>
      <c r="E372" s="2" t="s">
        <v>67</v>
      </c>
      <c r="F372" s="2" t="s">
        <v>2272</v>
      </c>
      <c r="G372" s="2" t="s">
        <v>2273</v>
      </c>
      <c r="H372" s="2" t="s">
        <v>240</v>
      </c>
      <c r="I372" s="2" t="s">
        <v>405</v>
      </c>
      <c r="J372" s="2" t="s">
        <v>25</v>
      </c>
      <c r="K372" s="2" t="s">
        <v>93</v>
      </c>
      <c r="L372" s="2" t="s">
        <v>2274</v>
      </c>
      <c r="M372" s="2" t="s">
        <v>27</v>
      </c>
      <c r="N372" s="2" t="s">
        <v>2275</v>
      </c>
      <c r="O372" s="2" t="s">
        <v>29</v>
      </c>
      <c r="P372" s="2" t="s">
        <v>2276</v>
      </c>
    </row>
    <row r="373" customFormat="false" ht="68.65" hidden="false" customHeight="false" outlineLevel="0" collapsed="false">
      <c r="A373" s="2" t="s">
        <v>1901</v>
      </c>
      <c r="B373" s="2" t="s">
        <v>65</v>
      </c>
      <c r="C373" s="2" t="s">
        <v>2277</v>
      </c>
      <c r="D373" s="2" t="s">
        <v>539</v>
      </c>
      <c r="E373" s="2" t="s">
        <v>20</v>
      </c>
      <c r="F373" s="2" t="s">
        <v>2278</v>
      </c>
      <c r="G373" s="2" t="s">
        <v>2279</v>
      </c>
      <c r="H373" s="2" t="s">
        <v>609</v>
      </c>
      <c r="I373" s="2" t="s">
        <v>1085</v>
      </c>
      <c r="J373" s="2" t="s">
        <v>25</v>
      </c>
      <c r="K373" s="2" t="s">
        <v>2280</v>
      </c>
      <c r="L373" s="2" t="s">
        <v>867</v>
      </c>
      <c r="M373" s="2" t="s">
        <v>46</v>
      </c>
      <c r="N373" s="2" t="s">
        <v>2281</v>
      </c>
      <c r="O373" s="2" t="s">
        <v>29</v>
      </c>
      <c r="P373" s="2" t="s">
        <v>2282</v>
      </c>
    </row>
    <row r="374" customFormat="false" ht="57.45" hidden="false" customHeight="false" outlineLevel="0" collapsed="false">
      <c r="A374" s="3" t="s">
        <v>1901</v>
      </c>
      <c r="B374" s="3" t="s">
        <v>17</v>
      </c>
      <c r="C374" s="3" t="s">
        <v>2283</v>
      </c>
      <c r="D374" s="3" t="s">
        <v>539</v>
      </c>
      <c r="E374" s="3"/>
      <c r="F374" s="3" t="s">
        <v>2284</v>
      </c>
      <c r="G374" s="3" t="s">
        <v>2285</v>
      </c>
      <c r="H374" s="3" t="s">
        <v>240</v>
      </c>
      <c r="I374" s="3" t="s">
        <v>233</v>
      </c>
      <c r="J374" s="3" t="s">
        <v>1905</v>
      </c>
      <c r="K374" s="3"/>
      <c r="L374" s="3" t="s">
        <v>2286</v>
      </c>
      <c r="M374" s="3" t="s">
        <v>243</v>
      </c>
      <c r="N374" s="3" t="s">
        <v>2287</v>
      </c>
      <c r="O374" s="3" t="s">
        <v>183</v>
      </c>
      <c r="P374" s="3" t="s">
        <v>2288</v>
      </c>
    </row>
    <row r="375" customFormat="false" ht="57.45" hidden="false" customHeight="false" outlineLevel="0" collapsed="false">
      <c r="A375" s="2" t="s">
        <v>1901</v>
      </c>
      <c r="B375" s="2" t="s">
        <v>31</v>
      </c>
      <c r="C375" s="2" t="s">
        <v>2289</v>
      </c>
      <c r="D375" s="2" t="s">
        <v>539</v>
      </c>
      <c r="E375" s="2" t="s">
        <v>20</v>
      </c>
      <c r="F375" s="2" t="s">
        <v>2290</v>
      </c>
      <c r="G375" s="2" t="s">
        <v>2291</v>
      </c>
      <c r="H375" s="2" t="s">
        <v>240</v>
      </c>
      <c r="I375" s="2" t="s">
        <v>36</v>
      </c>
      <c r="J375" s="2" t="s">
        <v>25</v>
      </c>
      <c r="K375" s="2"/>
      <c r="L375" s="2" t="s">
        <v>2292</v>
      </c>
      <c r="M375" s="2" t="s">
        <v>27</v>
      </c>
      <c r="N375" s="2" t="s">
        <v>2293</v>
      </c>
      <c r="O375" s="2" t="s">
        <v>29</v>
      </c>
      <c r="P375" s="2" t="s">
        <v>2294</v>
      </c>
    </row>
    <row r="376" customFormat="false" ht="46.25" hidden="false" customHeight="false" outlineLevel="0" collapsed="false">
      <c r="A376" s="3" t="s">
        <v>1901</v>
      </c>
      <c r="B376" s="3" t="s">
        <v>17</v>
      </c>
      <c r="C376" s="3" t="s">
        <v>2295</v>
      </c>
      <c r="D376" s="3" t="s">
        <v>539</v>
      </c>
      <c r="E376" s="3" t="s">
        <v>67</v>
      </c>
      <c r="F376" s="3" t="s">
        <v>2296</v>
      </c>
      <c r="G376" s="3" t="s">
        <v>2297</v>
      </c>
      <c r="H376" s="3" t="s">
        <v>240</v>
      </c>
      <c r="I376" s="3" t="s">
        <v>405</v>
      </c>
      <c r="J376" s="3" t="s">
        <v>25</v>
      </c>
      <c r="K376" s="3" t="s">
        <v>93</v>
      </c>
      <c r="L376" s="3" t="s">
        <v>2298</v>
      </c>
      <c r="M376" s="3" t="s">
        <v>27</v>
      </c>
      <c r="N376" s="3" t="s">
        <v>2299</v>
      </c>
      <c r="O376" s="3" t="s">
        <v>183</v>
      </c>
      <c r="P376" s="3" t="s">
        <v>2300</v>
      </c>
    </row>
    <row r="377" customFormat="false" ht="180.55" hidden="false" customHeight="false" outlineLevel="0" collapsed="false">
      <c r="A377" s="2" t="s">
        <v>1901</v>
      </c>
      <c r="B377" s="2" t="s">
        <v>65</v>
      </c>
      <c r="C377" s="2" t="s">
        <v>2301</v>
      </c>
      <c r="D377" s="2" t="s">
        <v>539</v>
      </c>
      <c r="E377" s="2" t="s">
        <v>67</v>
      </c>
      <c r="F377" s="2" t="s">
        <v>2302</v>
      </c>
      <c r="G377" s="2" t="s">
        <v>2303</v>
      </c>
      <c r="H377" s="2" t="s">
        <v>609</v>
      </c>
      <c r="I377" s="2" t="s">
        <v>1888</v>
      </c>
      <c r="J377" s="2" t="s">
        <v>1912</v>
      </c>
      <c r="K377" s="2" t="s">
        <v>2304</v>
      </c>
      <c r="L377" s="2" t="s">
        <v>2305</v>
      </c>
      <c r="M377" s="2" t="s">
        <v>121</v>
      </c>
      <c r="N377" s="2" t="s">
        <v>2306</v>
      </c>
      <c r="O377" s="2" t="s">
        <v>29</v>
      </c>
      <c r="P377" s="2" t="s">
        <v>2307</v>
      </c>
    </row>
    <row r="378" customFormat="false" ht="57.45" hidden="false" customHeight="false" outlineLevel="0" collapsed="false">
      <c r="A378" s="2" t="s">
        <v>1901</v>
      </c>
      <c r="B378" s="2" t="s">
        <v>31</v>
      </c>
      <c r="C378" s="2" t="s">
        <v>2308</v>
      </c>
      <c r="D378" s="2" t="s">
        <v>539</v>
      </c>
      <c r="E378" s="2" t="s">
        <v>20</v>
      </c>
      <c r="F378" s="2" t="s">
        <v>2309</v>
      </c>
      <c r="G378" s="2" t="s">
        <v>2310</v>
      </c>
      <c r="H378" s="2" t="s">
        <v>2257</v>
      </c>
      <c r="I378" s="2" t="s">
        <v>738</v>
      </c>
      <c r="J378" s="2" t="s">
        <v>25</v>
      </c>
      <c r="K378" s="2" t="s">
        <v>2311</v>
      </c>
      <c r="L378" s="2" t="s">
        <v>2312</v>
      </c>
      <c r="M378" s="2" t="s">
        <v>46</v>
      </c>
      <c r="N378" s="2" t="s">
        <v>2313</v>
      </c>
      <c r="O378" s="2" t="s">
        <v>29</v>
      </c>
      <c r="P378" s="2" t="s">
        <v>2314</v>
      </c>
    </row>
    <row r="379" customFormat="false" ht="57.45" hidden="false" customHeight="false" outlineLevel="0" collapsed="false">
      <c r="A379" s="2" t="s">
        <v>1901</v>
      </c>
      <c r="B379" s="2" t="s">
        <v>17</v>
      </c>
      <c r="C379" s="2" t="s">
        <v>2315</v>
      </c>
      <c r="D379" s="2" t="s">
        <v>539</v>
      </c>
      <c r="E379" s="2" t="s">
        <v>67</v>
      </c>
      <c r="F379" s="2" t="s">
        <v>2316</v>
      </c>
      <c r="G379" s="2" t="s">
        <v>2317</v>
      </c>
      <c r="H379" s="2" t="s">
        <v>240</v>
      </c>
      <c r="I379" s="2" t="s">
        <v>405</v>
      </c>
      <c r="J379" s="2" t="s">
        <v>25</v>
      </c>
      <c r="K379" s="2"/>
      <c r="L379" s="2" t="s">
        <v>2318</v>
      </c>
      <c r="M379" s="2" t="s">
        <v>46</v>
      </c>
      <c r="N379" s="2" t="s">
        <v>2319</v>
      </c>
      <c r="O379" s="2" t="s">
        <v>29</v>
      </c>
      <c r="P379" s="2" t="s">
        <v>2320</v>
      </c>
    </row>
    <row r="380" customFormat="false" ht="57.45" hidden="false" customHeight="false" outlineLevel="0" collapsed="false">
      <c r="A380" s="2" t="s">
        <v>1901</v>
      </c>
      <c r="B380" s="2" t="s">
        <v>31</v>
      </c>
      <c r="C380" s="2" t="s">
        <v>2321</v>
      </c>
      <c r="D380" s="2" t="s">
        <v>539</v>
      </c>
      <c r="E380" s="2" t="s">
        <v>67</v>
      </c>
      <c r="F380" s="2" t="s">
        <v>2322</v>
      </c>
      <c r="G380" s="2" t="s">
        <v>2323</v>
      </c>
      <c r="H380" s="2" t="s">
        <v>240</v>
      </c>
      <c r="I380" s="2" t="s">
        <v>405</v>
      </c>
      <c r="J380" s="2" t="s">
        <v>25</v>
      </c>
      <c r="K380" s="2" t="s">
        <v>93</v>
      </c>
      <c r="L380" s="2" t="s">
        <v>2324</v>
      </c>
      <c r="M380" s="2" t="s">
        <v>27</v>
      </c>
      <c r="N380" s="2" t="s">
        <v>2325</v>
      </c>
      <c r="O380" s="2" t="s">
        <v>29</v>
      </c>
      <c r="P380" s="2" t="s">
        <v>2326</v>
      </c>
    </row>
    <row r="381" customFormat="false" ht="57.45" hidden="false" customHeight="false" outlineLevel="0" collapsed="false">
      <c r="A381" s="2" t="s">
        <v>1901</v>
      </c>
      <c r="B381" s="2" t="s">
        <v>31</v>
      </c>
      <c r="C381" s="2" t="s">
        <v>2327</v>
      </c>
      <c r="D381" s="2" t="s">
        <v>539</v>
      </c>
      <c r="E381" s="2"/>
      <c r="F381" s="2" t="s">
        <v>2328</v>
      </c>
      <c r="G381" s="2" t="s">
        <v>2329</v>
      </c>
      <c r="H381" s="2" t="s">
        <v>240</v>
      </c>
      <c r="I381" s="2" t="s">
        <v>359</v>
      </c>
      <c r="J381" s="2" t="s">
        <v>1905</v>
      </c>
      <c r="K381" s="2"/>
      <c r="L381" s="2" t="s">
        <v>2330</v>
      </c>
      <c r="M381" s="2" t="s">
        <v>27</v>
      </c>
      <c r="N381" s="2" t="s">
        <v>2325</v>
      </c>
      <c r="O381" s="2" t="s">
        <v>29</v>
      </c>
      <c r="P381" s="2" t="s">
        <v>1749</v>
      </c>
    </row>
    <row r="382" customFormat="false" ht="91" hidden="false" customHeight="false" outlineLevel="0" collapsed="false">
      <c r="A382" s="2" t="s">
        <v>1901</v>
      </c>
      <c r="B382" s="2" t="s">
        <v>17</v>
      </c>
      <c r="C382" s="2" t="s">
        <v>2331</v>
      </c>
      <c r="D382" s="2" t="s">
        <v>539</v>
      </c>
      <c r="E382" s="2" t="s">
        <v>20</v>
      </c>
      <c r="F382" s="2" t="s">
        <v>2332</v>
      </c>
      <c r="G382" s="2" t="s">
        <v>2333</v>
      </c>
      <c r="H382" s="2" t="s">
        <v>609</v>
      </c>
      <c r="I382" s="2" t="s">
        <v>345</v>
      </c>
      <c r="J382" s="2" t="s">
        <v>1912</v>
      </c>
      <c r="K382" s="2" t="s">
        <v>2334</v>
      </c>
      <c r="L382" s="2" t="s">
        <v>2335</v>
      </c>
      <c r="M382" s="2" t="s">
        <v>27</v>
      </c>
      <c r="N382" s="2" t="s">
        <v>2336</v>
      </c>
      <c r="O382" s="2" t="s">
        <v>29</v>
      </c>
      <c r="P382" s="2" t="s">
        <v>2337</v>
      </c>
    </row>
    <row r="383" customFormat="false" ht="147" hidden="false" customHeight="false" outlineLevel="0" collapsed="false">
      <c r="A383" s="2" t="s">
        <v>1901</v>
      </c>
      <c r="B383" s="2" t="s">
        <v>17</v>
      </c>
      <c r="C383" s="2" t="s">
        <v>2338</v>
      </c>
      <c r="D383" s="2" t="s">
        <v>539</v>
      </c>
      <c r="E383" s="2" t="s">
        <v>67</v>
      </c>
      <c r="F383" s="2" t="s">
        <v>2339</v>
      </c>
      <c r="G383" s="2" t="s">
        <v>2340</v>
      </c>
      <c r="H383" s="2" t="s">
        <v>240</v>
      </c>
      <c r="I383" s="2" t="s">
        <v>763</v>
      </c>
      <c r="J383" s="2" t="s">
        <v>1912</v>
      </c>
      <c r="K383" s="2" t="s">
        <v>93</v>
      </c>
      <c r="L383" s="2" t="s">
        <v>2199</v>
      </c>
      <c r="M383" s="2" t="s">
        <v>121</v>
      </c>
      <c r="N383" s="2" t="s">
        <v>2341</v>
      </c>
      <c r="O383" s="2" t="s">
        <v>29</v>
      </c>
      <c r="P383" s="2" t="s">
        <v>2342</v>
      </c>
    </row>
    <row r="384" customFormat="false" ht="57.45" hidden="false" customHeight="false" outlineLevel="0" collapsed="false">
      <c r="A384" s="2" t="s">
        <v>1901</v>
      </c>
      <c r="B384" s="2" t="s">
        <v>31</v>
      </c>
      <c r="C384" s="2" t="s">
        <v>2343</v>
      </c>
      <c r="D384" s="2" t="s">
        <v>539</v>
      </c>
      <c r="E384" s="2" t="s">
        <v>67</v>
      </c>
      <c r="F384" s="2" t="s">
        <v>2344</v>
      </c>
      <c r="G384" s="2" t="s">
        <v>2345</v>
      </c>
      <c r="H384" s="2" t="s">
        <v>240</v>
      </c>
      <c r="I384" s="2" t="s">
        <v>405</v>
      </c>
      <c r="J384" s="2" t="s">
        <v>25</v>
      </c>
      <c r="K384" s="2" t="s">
        <v>93</v>
      </c>
      <c r="L384" s="2" t="s">
        <v>2346</v>
      </c>
      <c r="M384" s="2" t="s">
        <v>27</v>
      </c>
      <c r="N384" s="2" t="s">
        <v>2347</v>
      </c>
      <c r="O384" s="2" t="s">
        <v>29</v>
      </c>
      <c r="P384" s="2" t="s">
        <v>2348</v>
      </c>
    </row>
    <row r="385" customFormat="false" ht="214.15" hidden="false" customHeight="false" outlineLevel="0" collapsed="false">
      <c r="A385" s="2" t="s">
        <v>2349</v>
      </c>
      <c r="B385" s="2" t="s">
        <v>17</v>
      </c>
      <c r="C385" s="2" t="s">
        <v>2350</v>
      </c>
      <c r="D385" s="2" t="s">
        <v>19</v>
      </c>
      <c r="E385" s="2" t="s">
        <v>20</v>
      </c>
      <c r="F385" s="2" t="s">
        <v>2351</v>
      </c>
      <c r="G385" s="2" t="s">
        <v>2352</v>
      </c>
      <c r="H385" s="2" t="s">
        <v>212</v>
      </c>
      <c r="I385" s="2" t="s">
        <v>226</v>
      </c>
      <c r="J385" s="2" t="s">
        <v>44</v>
      </c>
      <c r="K385" s="2"/>
      <c r="L385" s="2" t="s">
        <v>2353</v>
      </c>
      <c r="M385" s="2" t="s">
        <v>27</v>
      </c>
      <c r="N385" s="2" t="s">
        <v>2354</v>
      </c>
      <c r="O385" s="2" t="s">
        <v>29</v>
      </c>
      <c r="P385" s="2" t="s">
        <v>2355</v>
      </c>
    </row>
    <row r="386" customFormat="false" ht="91" hidden="false" customHeight="false" outlineLevel="0" collapsed="false">
      <c r="A386" s="2" t="s">
        <v>2349</v>
      </c>
      <c r="B386" s="2" t="s">
        <v>17</v>
      </c>
      <c r="C386" s="2" t="s">
        <v>2356</v>
      </c>
      <c r="D386" s="2" t="s">
        <v>19</v>
      </c>
      <c r="E386" s="2" t="s">
        <v>20</v>
      </c>
      <c r="F386" s="2" t="s">
        <v>2357</v>
      </c>
      <c r="G386" s="2" t="s">
        <v>2358</v>
      </c>
      <c r="H386" s="2" t="s">
        <v>212</v>
      </c>
      <c r="I386" s="2" t="s">
        <v>36</v>
      </c>
      <c r="J386" s="2" t="s">
        <v>44</v>
      </c>
      <c r="K386" s="2"/>
      <c r="L386" s="2" t="s">
        <v>135</v>
      </c>
      <c r="M386" s="2" t="s">
        <v>46</v>
      </c>
      <c r="N386" s="2" t="s">
        <v>2359</v>
      </c>
      <c r="O386" s="2" t="s">
        <v>29</v>
      </c>
      <c r="P386" s="2" t="s">
        <v>2360</v>
      </c>
    </row>
    <row r="387" customFormat="false" ht="46.25" hidden="false" customHeight="false" outlineLevel="0" collapsed="false">
      <c r="A387" s="2" t="s">
        <v>2349</v>
      </c>
      <c r="B387" s="2" t="s">
        <v>31</v>
      </c>
      <c r="C387" s="2" t="s">
        <v>2361</v>
      </c>
      <c r="D387" s="2" t="s">
        <v>19</v>
      </c>
      <c r="E387" s="2" t="s">
        <v>20</v>
      </c>
      <c r="F387" s="2" t="s">
        <v>2362</v>
      </c>
      <c r="G387" s="2" t="s">
        <v>2363</v>
      </c>
      <c r="H387" s="2" t="s">
        <v>23</v>
      </c>
      <c r="I387" s="2" t="s">
        <v>36</v>
      </c>
      <c r="J387" s="2" t="s">
        <v>25</v>
      </c>
      <c r="K387" s="2"/>
      <c r="L387" s="2" t="s">
        <v>2362</v>
      </c>
      <c r="M387" s="2" t="s">
        <v>27</v>
      </c>
      <c r="N387" s="2" t="s">
        <v>2364</v>
      </c>
      <c r="O387" s="2" t="s">
        <v>29</v>
      </c>
      <c r="P387" s="2" t="s">
        <v>2365</v>
      </c>
    </row>
    <row r="388" customFormat="false" ht="91" hidden="false" customHeight="false" outlineLevel="0" collapsed="false">
      <c r="A388" s="2" t="s">
        <v>2349</v>
      </c>
      <c r="B388" s="2" t="s">
        <v>17</v>
      </c>
      <c r="C388" s="2" t="s">
        <v>2366</v>
      </c>
      <c r="D388" s="2" t="s">
        <v>19</v>
      </c>
      <c r="E388" s="2" t="s">
        <v>20</v>
      </c>
      <c r="F388" s="2" t="s">
        <v>2367</v>
      </c>
      <c r="G388" s="2" t="s">
        <v>2368</v>
      </c>
      <c r="H388" s="2" t="s">
        <v>212</v>
      </c>
      <c r="I388" s="2" t="s">
        <v>226</v>
      </c>
      <c r="J388" s="2" t="s">
        <v>44</v>
      </c>
      <c r="K388" s="2"/>
      <c r="L388" s="2" t="s">
        <v>2369</v>
      </c>
      <c r="M388" s="2" t="s">
        <v>27</v>
      </c>
      <c r="N388" s="2" t="s">
        <v>2370</v>
      </c>
      <c r="O388" s="2" t="s">
        <v>29</v>
      </c>
      <c r="P388" s="2" t="s">
        <v>2371</v>
      </c>
    </row>
    <row r="389" customFormat="false" ht="57.45" hidden="false" customHeight="false" outlineLevel="0" collapsed="false">
      <c r="A389" s="2" t="s">
        <v>2349</v>
      </c>
      <c r="B389" s="2" t="s">
        <v>17</v>
      </c>
      <c r="C389" s="2" t="s">
        <v>2372</v>
      </c>
      <c r="D389" s="2" t="s">
        <v>19</v>
      </c>
      <c r="E389" s="2" t="s">
        <v>20</v>
      </c>
      <c r="F389" s="2" t="s">
        <v>2373</v>
      </c>
      <c r="G389" s="2" t="s">
        <v>2374</v>
      </c>
      <c r="H389" s="2" t="s">
        <v>212</v>
      </c>
      <c r="I389" s="2" t="s">
        <v>226</v>
      </c>
      <c r="J389" s="2" t="s">
        <v>44</v>
      </c>
      <c r="K389" s="2"/>
      <c r="L389" s="2" t="s">
        <v>2375</v>
      </c>
      <c r="M389" s="2" t="s">
        <v>27</v>
      </c>
      <c r="N389" s="2" t="s">
        <v>2376</v>
      </c>
      <c r="O389" s="2" t="s">
        <v>29</v>
      </c>
      <c r="P389" s="2" t="s">
        <v>2377</v>
      </c>
    </row>
    <row r="390" customFormat="false" ht="102.2" hidden="false" customHeight="false" outlineLevel="0" collapsed="false">
      <c r="A390" s="2" t="s">
        <v>2349</v>
      </c>
      <c r="B390" s="2" t="s">
        <v>17</v>
      </c>
      <c r="C390" s="2" t="s">
        <v>1902</v>
      </c>
      <c r="D390" s="2" t="s">
        <v>19</v>
      </c>
      <c r="E390" s="2" t="s">
        <v>20</v>
      </c>
      <c r="F390" s="2" t="s">
        <v>2378</v>
      </c>
      <c r="G390" s="2" t="s">
        <v>2379</v>
      </c>
      <c r="H390" s="2" t="s">
        <v>212</v>
      </c>
      <c r="I390" s="2" t="s">
        <v>226</v>
      </c>
      <c r="J390" s="2" t="s">
        <v>44</v>
      </c>
      <c r="K390" s="2"/>
      <c r="L390" s="2" t="s">
        <v>2380</v>
      </c>
      <c r="M390" s="2" t="s">
        <v>27</v>
      </c>
      <c r="N390" s="2" t="s">
        <v>2381</v>
      </c>
      <c r="O390" s="2" t="s">
        <v>29</v>
      </c>
      <c r="P390" s="2" t="s">
        <v>2382</v>
      </c>
    </row>
    <row r="391" customFormat="false" ht="46.25" hidden="false" customHeight="false" outlineLevel="0" collapsed="false">
      <c r="A391" s="2" t="s">
        <v>2349</v>
      </c>
      <c r="B391" s="2" t="s">
        <v>17</v>
      </c>
      <c r="C391" s="2" t="s">
        <v>2383</v>
      </c>
      <c r="D391" s="2" t="s">
        <v>50</v>
      </c>
      <c r="E391" s="2" t="s">
        <v>67</v>
      </c>
      <c r="F391" s="2" t="s">
        <v>2384</v>
      </c>
      <c r="G391" s="2" t="s">
        <v>2385</v>
      </c>
      <c r="H391" s="2" t="s">
        <v>258</v>
      </c>
      <c r="I391" s="2" t="s">
        <v>687</v>
      </c>
      <c r="J391" s="2" t="s">
        <v>25</v>
      </c>
      <c r="K391" s="2"/>
      <c r="L391" s="2" t="s">
        <v>2386</v>
      </c>
      <c r="M391" s="2" t="s">
        <v>160</v>
      </c>
      <c r="N391" s="2" t="s">
        <v>2387</v>
      </c>
      <c r="O391" s="2" t="s">
        <v>29</v>
      </c>
      <c r="P391" s="2" t="s">
        <v>2388</v>
      </c>
    </row>
    <row r="392" customFormat="false" ht="68.65" hidden="false" customHeight="false" outlineLevel="0" collapsed="false">
      <c r="A392" s="2" t="s">
        <v>2349</v>
      </c>
      <c r="B392" s="2" t="s">
        <v>17</v>
      </c>
      <c r="C392" s="2" t="s">
        <v>2389</v>
      </c>
      <c r="D392" s="2" t="s">
        <v>50</v>
      </c>
      <c r="E392" s="2" t="s">
        <v>20</v>
      </c>
      <c r="F392" s="2" t="s">
        <v>2390</v>
      </c>
      <c r="G392" s="2" t="s">
        <v>2391</v>
      </c>
      <c r="H392" s="2" t="s">
        <v>35</v>
      </c>
      <c r="I392" s="2" t="s">
        <v>226</v>
      </c>
      <c r="J392" s="2" t="s">
        <v>584</v>
      </c>
      <c r="K392" s="2"/>
      <c r="L392" s="2" t="s">
        <v>2392</v>
      </c>
      <c r="M392" s="2" t="s">
        <v>27</v>
      </c>
      <c r="N392" s="2" t="s">
        <v>2393</v>
      </c>
      <c r="O392" s="2" t="s">
        <v>29</v>
      </c>
      <c r="P392" s="2" t="s">
        <v>2394</v>
      </c>
    </row>
    <row r="393" customFormat="false" ht="57.45" hidden="false" customHeight="false" outlineLevel="0" collapsed="false">
      <c r="A393" s="2" t="s">
        <v>2349</v>
      </c>
      <c r="B393" s="2" t="s">
        <v>17</v>
      </c>
      <c r="C393" s="2" t="s">
        <v>2395</v>
      </c>
      <c r="D393" s="2" t="s">
        <v>50</v>
      </c>
      <c r="E393" s="2" t="s">
        <v>20</v>
      </c>
      <c r="F393" s="2" t="s">
        <v>2396</v>
      </c>
      <c r="G393" s="2" t="s">
        <v>2397</v>
      </c>
      <c r="H393" s="2" t="s">
        <v>35</v>
      </c>
      <c r="I393" s="2" t="s">
        <v>36</v>
      </c>
      <c r="J393" s="2" t="s">
        <v>25</v>
      </c>
      <c r="K393" s="2"/>
      <c r="L393" s="2" t="s">
        <v>2396</v>
      </c>
      <c r="M393" s="2" t="s">
        <v>27</v>
      </c>
      <c r="N393" s="2" t="s">
        <v>2398</v>
      </c>
      <c r="O393" s="2" t="s">
        <v>29</v>
      </c>
      <c r="P393" s="2" t="s">
        <v>2399</v>
      </c>
    </row>
    <row r="394" customFormat="false" ht="79.85" hidden="false" customHeight="false" outlineLevel="0" collapsed="false">
      <c r="A394" s="2" t="s">
        <v>2349</v>
      </c>
      <c r="B394" s="2" t="s">
        <v>17</v>
      </c>
      <c r="C394" s="2" t="s">
        <v>2400</v>
      </c>
      <c r="D394" s="2" t="s">
        <v>50</v>
      </c>
      <c r="E394" s="2" t="s">
        <v>20</v>
      </c>
      <c r="F394" s="2" t="s">
        <v>2401</v>
      </c>
      <c r="G394" s="2" t="s">
        <v>2402</v>
      </c>
      <c r="H394" s="2" t="s">
        <v>35</v>
      </c>
      <c r="I394" s="2" t="s">
        <v>1786</v>
      </c>
      <c r="J394" s="2" t="s">
        <v>44</v>
      </c>
      <c r="K394" s="2"/>
      <c r="L394" s="2" t="s">
        <v>273</v>
      </c>
      <c r="M394" s="2" t="s">
        <v>46</v>
      </c>
      <c r="N394" s="2" t="s">
        <v>2403</v>
      </c>
      <c r="O394" s="2" t="s">
        <v>29</v>
      </c>
      <c r="P394" s="2" t="s">
        <v>2404</v>
      </c>
    </row>
    <row r="395" customFormat="false" ht="79.85" hidden="false" customHeight="false" outlineLevel="0" collapsed="false">
      <c r="A395" s="2" t="s">
        <v>2349</v>
      </c>
      <c r="B395" s="2" t="s">
        <v>17</v>
      </c>
      <c r="C395" s="2" t="s">
        <v>2405</v>
      </c>
      <c r="D395" s="2" t="s">
        <v>50</v>
      </c>
      <c r="E395" s="2" t="s">
        <v>20</v>
      </c>
      <c r="F395" s="2" t="s">
        <v>2406</v>
      </c>
      <c r="G395" s="2" t="s">
        <v>2407</v>
      </c>
      <c r="H395" s="2" t="s">
        <v>35</v>
      </c>
      <c r="I395" s="2" t="s">
        <v>542</v>
      </c>
      <c r="J395" s="2" t="s">
        <v>44</v>
      </c>
      <c r="K395" s="2"/>
      <c r="L395" s="2" t="s">
        <v>2408</v>
      </c>
      <c r="M395" s="2" t="s">
        <v>27</v>
      </c>
      <c r="N395" s="2" t="s">
        <v>2409</v>
      </c>
      <c r="O395" s="2" t="s">
        <v>29</v>
      </c>
      <c r="P395" s="2" t="s">
        <v>2410</v>
      </c>
    </row>
    <row r="396" customFormat="false" ht="68.65" hidden="false" customHeight="false" outlineLevel="0" collapsed="false">
      <c r="A396" s="2" t="s">
        <v>2349</v>
      </c>
      <c r="B396" s="2" t="s">
        <v>65</v>
      </c>
      <c r="C396" s="2" t="s">
        <v>2411</v>
      </c>
      <c r="D396" s="2" t="s">
        <v>50</v>
      </c>
      <c r="E396" s="2" t="s">
        <v>67</v>
      </c>
      <c r="F396" s="2" t="s">
        <v>2412</v>
      </c>
      <c r="G396" s="2" t="s">
        <v>2413</v>
      </c>
      <c r="H396" s="2" t="s">
        <v>35</v>
      </c>
      <c r="I396" s="2" t="s">
        <v>405</v>
      </c>
      <c r="J396" s="2" t="s">
        <v>25</v>
      </c>
      <c r="K396" s="2"/>
      <c r="L396" s="2" t="s">
        <v>2414</v>
      </c>
      <c r="M396" s="2" t="s">
        <v>46</v>
      </c>
      <c r="N396" s="2" t="s">
        <v>2415</v>
      </c>
      <c r="O396" s="2" t="s">
        <v>29</v>
      </c>
      <c r="P396" s="2" t="s">
        <v>2416</v>
      </c>
    </row>
    <row r="397" customFormat="false" ht="57.45" hidden="false" customHeight="false" outlineLevel="0" collapsed="false">
      <c r="A397" s="2" t="s">
        <v>2349</v>
      </c>
      <c r="B397" s="2" t="s">
        <v>254</v>
      </c>
      <c r="C397" s="2" t="s">
        <v>2417</v>
      </c>
      <c r="D397" s="2" t="s">
        <v>50</v>
      </c>
      <c r="E397" s="2" t="s">
        <v>20</v>
      </c>
      <c r="F397" s="2" t="s">
        <v>2418</v>
      </c>
      <c r="G397" s="2" t="s">
        <v>2419</v>
      </c>
      <c r="H397" s="2" t="s">
        <v>35</v>
      </c>
      <c r="I397" s="2" t="s">
        <v>372</v>
      </c>
      <c r="J397" s="2" t="s">
        <v>25</v>
      </c>
      <c r="K397" s="2"/>
      <c r="L397" s="2" t="s">
        <v>2420</v>
      </c>
      <c r="M397" s="2" t="s">
        <v>46</v>
      </c>
      <c r="N397" s="2" t="s">
        <v>2421</v>
      </c>
      <c r="O397" s="2" t="s">
        <v>29</v>
      </c>
      <c r="P397" s="2" t="s">
        <v>2422</v>
      </c>
    </row>
    <row r="398" customFormat="false" ht="91" hidden="false" customHeight="false" outlineLevel="0" collapsed="false">
      <c r="A398" s="2" t="s">
        <v>2349</v>
      </c>
      <c r="B398" s="2" t="s">
        <v>17</v>
      </c>
      <c r="C398" s="2" t="s">
        <v>2423</v>
      </c>
      <c r="D398" s="2" t="s">
        <v>50</v>
      </c>
      <c r="E398" s="2" t="s">
        <v>20</v>
      </c>
      <c r="F398" s="2" t="s">
        <v>2424</v>
      </c>
      <c r="G398" s="2" t="s">
        <v>2425</v>
      </c>
      <c r="H398" s="2" t="s">
        <v>2426</v>
      </c>
      <c r="I398" s="2" t="s">
        <v>542</v>
      </c>
      <c r="J398" s="2" t="s">
        <v>44</v>
      </c>
      <c r="K398" s="2"/>
      <c r="L398" s="2" t="s">
        <v>2427</v>
      </c>
      <c r="M398" s="2" t="s">
        <v>46</v>
      </c>
      <c r="N398" s="2" t="s">
        <v>2428</v>
      </c>
      <c r="O398" s="2" t="s">
        <v>29</v>
      </c>
      <c r="P398" s="2" t="s">
        <v>2429</v>
      </c>
    </row>
    <row r="399" customFormat="false" ht="46.25" hidden="false" customHeight="false" outlineLevel="0" collapsed="false">
      <c r="A399" s="2" t="s">
        <v>2349</v>
      </c>
      <c r="B399" s="2" t="s">
        <v>17</v>
      </c>
      <c r="C399" s="2" t="s">
        <v>2430</v>
      </c>
      <c r="D399" s="2" t="s">
        <v>89</v>
      </c>
      <c r="E399" s="2" t="s">
        <v>20</v>
      </c>
      <c r="F399" s="2" t="s">
        <v>2431</v>
      </c>
      <c r="G399" s="2" t="s">
        <v>2432</v>
      </c>
      <c r="H399" s="2" t="s">
        <v>99</v>
      </c>
      <c r="I399" s="2" t="s">
        <v>2433</v>
      </c>
      <c r="J399" s="2" t="s">
        <v>25</v>
      </c>
      <c r="K399" s="2"/>
      <c r="L399" s="2" t="s">
        <v>2434</v>
      </c>
      <c r="M399" s="2" t="s">
        <v>46</v>
      </c>
      <c r="N399" s="2" t="s">
        <v>2435</v>
      </c>
      <c r="O399" s="2" t="s">
        <v>29</v>
      </c>
      <c r="P399" s="2" t="s">
        <v>2436</v>
      </c>
    </row>
    <row r="400" customFormat="false" ht="46.25" hidden="false" customHeight="false" outlineLevel="0" collapsed="false">
      <c r="A400" s="2" t="s">
        <v>2349</v>
      </c>
      <c r="B400" s="2" t="s">
        <v>65</v>
      </c>
      <c r="C400" s="2" t="s">
        <v>88</v>
      </c>
      <c r="D400" s="2" t="s">
        <v>89</v>
      </c>
      <c r="E400" s="2" t="s">
        <v>20</v>
      </c>
      <c r="F400" s="2" t="s">
        <v>2437</v>
      </c>
      <c r="G400" s="2" t="s">
        <v>2438</v>
      </c>
      <c r="H400" s="2" t="s">
        <v>99</v>
      </c>
      <c r="I400" s="2" t="s">
        <v>345</v>
      </c>
      <c r="J400" s="2" t="s">
        <v>44</v>
      </c>
      <c r="K400" s="2"/>
      <c r="L400" s="2" t="s">
        <v>598</v>
      </c>
      <c r="M400" s="2" t="s">
        <v>46</v>
      </c>
      <c r="N400" s="2" t="s">
        <v>2439</v>
      </c>
      <c r="O400" s="2" t="s">
        <v>29</v>
      </c>
      <c r="P400" s="2" t="s">
        <v>2440</v>
      </c>
    </row>
    <row r="401" customFormat="false" ht="79.85" hidden="false" customHeight="false" outlineLevel="0" collapsed="false">
      <c r="A401" s="2" t="s">
        <v>2349</v>
      </c>
      <c r="B401" s="2" t="s">
        <v>17</v>
      </c>
      <c r="C401" s="2" t="s">
        <v>2441</v>
      </c>
      <c r="D401" s="2" t="s">
        <v>89</v>
      </c>
      <c r="E401" s="2" t="s">
        <v>20</v>
      </c>
      <c r="F401" s="2" t="s">
        <v>2442</v>
      </c>
      <c r="G401" s="2" t="s">
        <v>2443</v>
      </c>
      <c r="H401" s="2" t="s">
        <v>212</v>
      </c>
      <c r="I401" s="2" t="s">
        <v>1056</v>
      </c>
      <c r="J401" s="2" t="s">
        <v>44</v>
      </c>
      <c r="K401" s="2"/>
      <c r="L401" s="2" t="s">
        <v>2444</v>
      </c>
      <c r="M401" s="2" t="s">
        <v>160</v>
      </c>
      <c r="N401" s="2" t="s">
        <v>2445</v>
      </c>
      <c r="O401" s="2" t="s">
        <v>29</v>
      </c>
      <c r="P401" s="2" t="s">
        <v>2446</v>
      </c>
    </row>
    <row r="402" customFormat="false" ht="57.45" hidden="false" customHeight="false" outlineLevel="0" collapsed="false">
      <c r="A402" s="2" t="s">
        <v>2349</v>
      </c>
      <c r="B402" s="2" t="s">
        <v>169</v>
      </c>
      <c r="C402" s="2" t="s">
        <v>88</v>
      </c>
      <c r="D402" s="2" t="s">
        <v>89</v>
      </c>
      <c r="E402" s="2" t="s">
        <v>20</v>
      </c>
      <c r="F402" s="2" t="s">
        <v>2447</v>
      </c>
      <c r="G402" s="2" t="s">
        <v>2448</v>
      </c>
      <c r="H402" s="2" t="s">
        <v>43</v>
      </c>
      <c r="I402" s="2" t="s">
        <v>2449</v>
      </c>
      <c r="J402" s="2" t="s">
        <v>346</v>
      </c>
      <c r="K402" s="2"/>
      <c r="L402" s="2" t="s">
        <v>2450</v>
      </c>
      <c r="M402" s="2" t="s">
        <v>46</v>
      </c>
      <c r="N402" s="2" t="s">
        <v>2451</v>
      </c>
      <c r="O402" s="2" t="s">
        <v>29</v>
      </c>
      <c r="P402" s="2" t="s">
        <v>759</v>
      </c>
    </row>
    <row r="403" customFormat="false" ht="124.6" hidden="false" customHeight="false" outlineLevel="0" collapsed="false">
      <c r="A403" s="2" t="s">
        <v>2349</v>
      </c>
      <c r="B403" s="2" t="s">
        <v>17</v>
      </c>
      <c r="C403" s="2" t="s">
        <v>1969</v>
      </c>
      <c r="D403" s="2" t="s">
        <v>89</v>
      </c>
      <c r="E403" s="2" t="s">
        <v>20</v>
      </c>
      <c r="F403" s="2" t="s">
        <v>2452</v>
      </c>
      <c r="G403" s="2" t="s">
        <v>2453</v>
      </c>
      <c r="H403" s="2" t="s">
        <v>2454</v>
      </c>
      <c r="I403" s="2" t="s">
        <v>520</v>
      </c>
      <c r="J403" s="2" t="s">
        <v>44</v>
      </c>
      <c r="K403" s="2"/>
      <c r="L403" s="2" t="s">
        <v>2455</v>
      </c>
      <c r="M403" s="2" t="s">
        <v>27</v>
      </c>
      <c r="N403" s="2" t="s">
        <v>2456</v>
      </c>
      <c r="O403" s="2" t="s">
        <v>29</v>
      </c>
      <c r="P403" s="2" t="s">
        <v>2457</v>
      </c>
    </row>
    <row r="404" customFormat="false" ht="79.85" hidden="false" customHeight="false" outlineLevel="0" collapsed="false">
      <c r="A404" s="2" t="s">
        <v>2349</v>
      </c>
      <c r="B404" s="2" t="s">
        <v>17</v>
      </c>
      <c r="C404" s="2" t="s">
        <v>88</v>
      </c>
      <c r="D404" s="2" t="s">
        <v>89</v>
      </c>
      <c r="E404" s="2" t="s">
        <v>20</v>
      </c>
      <c r="F404" s="2" t="s">
        <v>2458</v>
      </c>
      <c r="G404" s="2" t="s">
        <v>2459</v>
      </c>
      <c r="H404" s="2" t="s">
        <v>99</v>
      </c>
      <c r="I404" s="2" t="s">
        <v>359</v>
      </c>
      <c r="J404" s="2" t="s">
        <v>44</v>
      </c>
      <c r="K404" s="2"/>
      <c r="L404" s="2" t="s">
        <v>1262</v>
      </c>
      <c r="M404" s="2" t="s">
        <v>46</v>
      </c>
      <c r="N404" s="2" t="s">
        <v>2460</v>
      </c>
      <c r="O404" s="2" t="s">
        <v>29</v>
      </c>
      <c r="P404" s="2" t="s">
        <v>2461</v>
      </c>
    </row>
    <row r="405" customFormat="false" ht="57.45" hidden="false" customHeight="false" outlineLevel="0" collapsed="false">
      <c r="A405" s="2" t="s">
        <v>2349</v>
      </c>
      <c r="B405" s="2" t="s">
        <v>17</v>
      </c>
      <c r="C405" s="2" t="s">
        <v>2462</v>
      </c>
      <c r="D405" s="2" t="s">
        <v>89</v>
      </c>
      <c r="E405" s="2" t="s">
        <v>20</v>
      </c>
      <c r="F405" s="2" t="s">
        <v>2463</v>
      </c>
      <c r="G405" s="2" t="s">
        <v>2464</v>
      </c>
      <c r="H405" s="2" t="s">
        <v>258</v>
      </c>
      <c r="I405" s="2" t="s">
        <v>2433</v>
      </c>
      <c r="J405" s="2" t="s">
        <v>25</v>
      </c>
      <c r="K405" s="2"/>
      <c r="L405" s="2" t="s">
        <v>2434</v>
      </c>
      <c r="M405" s="2" t="s">
        <v>46</v>
      </c>
      <c r="N405" s="2" t="s">
        <v>2435</v>
      </c>
      <c r="O405" s="2" t="s">
        <v>29</v>
      </c>
      <c r="P405" s="2" t="s">
        <v>2465</v>
      </c>
    </row>
    <row r="406" customFormat="false" ht="57.45" hidden="false" customHeight="false" outlineLevel="0" collapsed="false">
      <c r="A406" s="2" t="s">
        <v>2349</v>
      </c>
      <c r="B406" s="2" t="s">
        <v>169</v>
      </c>
      <c r="C406" s="2" t="s">
        <v>2466</v>
      </c>
      <c r="D406" s="2" t="s">
        <v>89</v>
      </c>
      <c r="E406" s="2" t="s">
        <v>20</v>
      </c>
      <c r="F406" s="2" t="s">
        <v>2467</v>
      </c>
      <c r="G406" s="2" t="s">
        <v>2468</v>
      </c>
      <c r="H406" s="2" t="s">
        <v>212</v>
      </c>
      <c r="I406" s="2" t="s">
        <v>226</v>
      </c>
      <c r="J406" s="2" t="s">
        <v>44</v>
      </c>
      <c r="K406" s="2"/>
      <c r="L406" s="2" t="s">
        <v>2469</v>
      </c>
      <c r="M406" s="2" t="s">
        <v>27</v>
      </c>
      <c r="N406" s="2" t="s">
        <v>2470</v>
      </c>
      <c r="O406" s="2" t="s">
        <v>29</v>
      </c>
      <c r="P406" s="2" t="s">
        <v>2471</v>
      </c>
    </row>
    <row r="407" customFormat="false" ht="79.85" hidden="false" customHeight="false" outlineLevel="0" collapsed="false">
      <c r="A407" s="2" t="s">
        <v>2349</v>
      </c>
      <c r="B407" s="2" t="s">
        <v>65</v>
      </c>
      <c r="C407" s="2" t="s">
        <v>88</v>
      </c>
      <c r="D407" s="2" t="s">
        <v>89</v>
      </c>
      <c r="E407" s="2" t="s">
        <v>20</v>
      </c>
      <c r="F407" s="2" t="s">
        <v>2472</v>
      </c>
      <c r="G407" s="2" t="s">
        <v>2473</v>
      </c>
      <c r="H407" s="2" t="s">
        <v>775</v>
      </c>
      <c r="I407" s="2" t="s">
        <v>2474</v>
      </c>
      <c r="J407" s="2" t="s">
        <v>118</v>
      </c>
      <c r="K407" s="2"/>
      <c r="L407" s="2" t="s">
        <v>2475</v>
      </c>
      <c r="M407" s="2" t="s">
        <v>27</v>
      </c>
      <c r="N407" s="2" t="s">
        <v>2476</v>
      </c>
      <c r="O407" s="2" t="s">
        <v>29</v>
      </c>
      <c r="P407" s="2" t="s">
        <v>2440</v>
      </c>
    </row>
    <row r="408" customFormat="false" ht="79.85" hidden="false" customHeight="false" outlineLevel="0" collapsed="false">
      <c r="A408" s="2" t="s">
        <v>2349</v>
      </c>
      <c r="B408" s="2" t="s">
        <v>17</v>
      </c>
      <c r="C408" s="2" t="s">
        <v>2477</v>
      </c>
      <c r="D408" s="2" t="s">
        <v>89</v>
      </c>
      <c r="E408" s="2" t="s">
        <v>20</v>
      </c>
      <c r="F408" s="2" t="s">
        <v>2478</v>
      </c>
      <c r="G408" s="2" t="s">
        <v>2479</v>
      </c>
      <c r="H408" s="2" t="s">
        <v>212</v>
      </c>
      <c r="I408" s="2" t="s">
        <v>226</v>
      </c>
      <c r="J408" s="2" t="s">
        <v>44</v>
      </c>
      <c r="K408" s="2"/>
      <c r="L408" s="2" t="s">
        <v>2480</v>
      </c>
      <c r="M408" s="2" t="s">
        <v>243</v>
      </c>
      <c r="N408" s="2" t="s">
        <v>2481</v>
      </c>
      <c r="O408" s="2" t="s">
        <v>29</v>
      </c>
      <c r="P408" s="2" t="s">
        <v>785</v>
      </c>
    </row>
    <row r="409" customFormat="false" ht="46.25" hidden="false" customHeight="false" outlineLevel="0" collapsed="false">
      <c r="A409" s="2" t="s">
        <v>2349</v>
      </c>
      <c r="B409" s="2" t="s">
        <v>169</v>
      </c>
      <c r="C409" s="2" t="s">
        <v>2482</v>
      </c>
      <c r="D409" s="2" t="s">
        <v>139</v>
      </c>
      <c r="E409" s="2" t="s">
        <v>140</v>
      </c>
      <c r="F409" s="2" t="s">
        <v>2483</v>
      </c>
      <c r="G409" s="2" t="s">
        <v>2484</v>
      </c>
      <c r="H409" s="2" t="s">
        <v>35</v>
      </c>
      <c r="I409" s="2" t="s">
        <v>2485</v>
      </c>
      <c r="J409" s="2" t="s">
        <v>25</v>
      </c>
      <c r="K409" s="2"/>
      <c r="L409" s="2" t="s">
        <v>2486</v>
      </c>
      <c r="M409" s="2" t="s">
        <v>46</v>
      </c>
      <c r="N409" s="2" t="s">
        <v>2487</v>
      </c>
      <c r="O409" s="2" t="s">
        <v>29</v>
      </c>
      <c r="P409" s="2" t="s">
        <v>2488</v>
      </c>
    </row>
    <row r="410" customFormat="false" ht="57.45" hidden="false" customHeight="false" outlineLevel="0" collapsed="false">
      <c r="A410" s="2" t="s">
        <v>2349</v>
      </c>
      <c r="B410" s="2" t="s">
        <v>254</v>
      </c>
      <c r="C410" s="2" t="s">
        <v>2489</v>
      </c>
      <c r="D410" s="2" t="s">
        <v>139</v>
      </c>
      <c r="E410" s="2" t="s">
        <v>140</v>
      </c>
      <c r="F410" s="2" t="s">
        <v>2490</v>
      </c>
      <c r="G410" s="2" t="s">
        <v>2491</v>
      </c>
      <c r="H410" s="2" t="s">
        <v>35</v>
      </c>
      <c r="I410" s="2" t="s">
        <v>2492</v>
      </c>
      <c r="J410" s="2" t="s">
        <v>25</v>
      </c>
      <c r="K410" s="2"/>
      <c r="L410" s="2" t="s">
        <v>2493</v>
      </c>
      <c r="M410" s="2" t="s">
        <v>27</v>
      </c>
      <c r="N410" s="2" t="s">
        <v>2494</v>
      </c>
      <c r="O410" s="2" t="s">
        <v>29</v>
      </c>
      <c r="P410" s="2" t="s">
        <v>2495</v>
      </c>
    </row>
    <row r="411" customFormat="false" ht="57.45" hidden="false" customHeight="false" outlineLevel="0" collapsed="false">
      <c r="A411" s="2" t="s">
        <v>2349</v>
      </c>
      <c r="B411" s="2" t="s">
        <v>17</v>
      </c>
      <c r="C411" s="2" t="s">
        <v>2496</v>
      </c>
      <c r="D411" s="2" t="s">
        <v>139</v>
      </c>
      <c r="E411" s="2" t="s">
        <v>140</v>
      </c>
      <c r="F411" s="2" t="s">
        <v>2497</v>
      </c>
      <c r="G411" s="2" t="s">
        <v>2498</v>
      </c>
      <c r="H411" s="2" t="s">
        <v>35</v>
      </c>
      <c r="I411" s="2" t="s">
        <v>2499</v>
      </c>
      <c r="J411" s="2" t="s">
        <v>25</v>
      </c>
      <c r="K411" s="2"/>
      <c r="L411" s="2" t="s">
        <v>2486</v>
      </c>
      <c r="M411" s="2" t="s">
        <v>46</v>
      </c>
      <c r="N411" s="2" t="s">
        <v>2500</v>
      </c>
      <c r="O411" s="2" t="s">
        <v>29</v>
      </c>
      <c r="P411" s="2" t="s">
        <v>2501</v>
      </c>
    </row>
    <row r="412" customFormat="false" ht="79.85" hidden="false" customHeight="false" outlineLevel="0" collapsed="false">
      <c r="A412" s="2" t="s">
        <v>2349</v>
      </c>
      <c r="B412" s="2" t="s">
        <v>17</v>
      </c>
      <c r="C412" s="2" t="s">
        <v>2502</v>
      </c>
      <c r="D412" s="2" t="s">
        <v>193</v>
      </c>
      <c r="E412" s="2" t="s">
        <v>20</v>
      </c>
      <c r="F412" s="2" t="s">
        <v>2503</v>
      </c>
      <c r="G412" s="2" t="s">
        <v>2504</v>
      </c>
      <c r="H412" s="2" t="s">
        <v>212</v>
      </c>
      <c r="I412" s="2" t="s">
        <v>1056</v>
      </c>
      <c r="J412" s="2" t="s">
        <v>44</v>
      </c>
      <c r="K412" s="2"/>
      <c r="L412" s="2" t="s">
        <v>2505</v>
      </c>
      <c r="M412" s="2" t="s">
        <v>121</v>
      </c>
      <c r="N412" s="2" t="s">
        <v>2506</v>
      </c>
      <c r="O412" s="2" t="s">
        <v>29</v>
      </c>
      <c r="P412" s="2" t="s">
        <v>2507</v>
      </c>
    </row>
    <row r="413" customFormat="false" ht="91" hidden="false" customHeight="false" outlineLevel="0" collapsed="false">
      <c r="A413" s="2" t="s">
        <v>2349</v>
      </c>
      <c r="B413" s="2" t="s">
        <v>17</v>
      </c>
      <c r="C413" s="2" t="s">
        <v>2508</v>
      </c>
      <c r="D413" s="2" t="s">
        <v>193</v>
      </c>
      <c r="E413" s="2" t="s">
        <v>20</v>
      </c>
      <c r="F413" s="2" t="s">
        <v>2509</v>
      </c>
      <c r="G413" s="2" t="s">
        <v>2510</v>
      </c>
      <c r="H413" s="2" t="s">
        <v>212</v>
      </c>
      <c r="I413" s="2" t="s">
        <v>226</v>
      </c>
      <c r="J413" s="2" t="s">
        <v>44</v>
      </c>
      <c r="K413" s="2"/>
      <c r="L413" s="2" t="s">
        <v>2511</v>
      </c>
      <c r="M413" s="2" t="s">
        <v>27</v>
      </c>
      <c r="N413" s="2" t="s">
        <v>2512</v>
      </c>
      <c r="O413" s="2" t="s">
        <v>29</v>
      </c>
      <c r="P413" s="2" t="s">
        <v>2513</v>
      </c>
    </row>
    <row r="414" customFormat="false" ht="147" hidden="false" customHeight="false" outlineLevel="0" collapsed="false">
      <c r="A414" s="2" t="s">
        <v>2349</v>
      </c>
      <c r="B414" s="2" t="s">
        <v>17</v>
      </c>
      <c r="C414" s="2" t="s">
        <v>2514</v>
      </c>
      <c r="D414" s="2" t="s">
        <v>193</v>
      </c>
      <c r="E414" s="2" t="s">
        <v>20</v>
      </c>
      <c r="F414" s="2" t="s">
        <v>2515</v>
      </c>
      <c r="G414" s="2" t="s">
        <v>2516</v>
      </c>
      <c r="H414" s="2" t="s">
        <v>212</v>
      </c>
      <c r="I414" s="2" t="s">
        <v>1888</v>
      </c>
      <c r="J414" s="2" t="s">
        <v>44</v>
      </c>
      <c r="K414" s="2"/>
      <c r="L414" s="2" t="s">
        <v>2517</v>
      </c>
      <c r="M414" s="2" t="s">
        <v>243</v>
      </c>
      <c r="N414" s="2" t="s">
        <v>2518</v>
      </c>
      <c r="O414" s="2" t="s">
        <v>29</v>
      </c>
      <c r="P414" s="2" t="s">
        <v>2519</v>
      </c>
    </row>
    <row r="415" customFormat="false" ht="158.2" hidden="false" customHeight="false" outlineLevel="0" collapsed="false">
      <c r="A415" s="2" t="s">
        <v>2349</v>
      </c>
      <c r="B415" s="2" t="s">
        <v>31</v>
      </c>
      <c r="C415" s="2" t="s">
        <v>2520</v>
      </c>
      <c r="D415" s="2" t="s">
        <v>193</v>
      </c>
      <c r="E415" s="2" t="s">
        <v>20</v>
      </c>
      <c r="F415" s="2" t="s">
        <v>2521</v>
      </c>
      <c r="G415" s="2" t="s">
        <v>2522</v>
      </c>
      <c r="H415" s="2" t="s">
        <v>2523</v>
      </c>
      <c r="I415" s="2" t="s">
        <v>226</v>
      </c>
      <c r="J415" s="2" t="s">
        <v>44</v>
      </c>
      <c r="K415" s="2"/>
      <c r="L415" s="2" t="s">
        <v>2524</v>
      </c>
      <c r="M415" s="2" t="s">
        <v>27</v>
      </c>
      <c r="N415" s="2" t="s">
        <v>2525</v>
      </c>
      <c r="O415" s="2" t="s">
        <v>29</v>
      </c>
      <c r="P415" s="2" t="s">
        <v>2526</v>
      </c>
    </row>
    <row r="416" customFormat="false" ht="169.4" hidden="false" customHeight="false" outlineLevel="0" collapsed="false">
      <c r="A416" s="2" t="s">
        <v>2349</v>
      </c>
      <c r="B416" s="2" t="s">
        <v>17</v>
      </c>
      <c r="C416" s="2" t="s">
        <v>2527</v>
      </c>
      <c r="D416" s="2" t="s">
        <v>193</v>
      </c>
      <c r="E416" s="2" t="s">
        <v>20</v>
      </c>
      <c r="F416" s="2" t="s">
        <v>2528</v>
      </c>
      <c r="G416" s="2" t="s">
        <v>2529</v>
      </c>
      <c r="H416" s="2" t="s">
        <v>212</v>
      </c>
      <c r="I416" s="2" t="s">
        <v>1753</v>
      </c>
      <c r="J416" s="2" t="s">
        <v>44</v>
      </c>
      <c r="K416" s="2"/>
      <c r="L416" s="2" t="s">
        <v>2530</v>
      </c>
      <c r="M416" s="2" t="s">
        <v>243</v>
      </c>
      <c r="N416" s="2" t="s">
        <v>2531</v>
      </c>
      <c r="O416" s="2" t="s">
        <v>29</v>
      </c>
      <c r="P416" s="2" t="s">
        <v>2532</v>
      </c>
    </row>
    <row r="417" customFormat="false" ht="68.65" hidden="false" customHeight="false" outlineLevel="0" collapsed="false">
      <c r="A417" s="2" t="s">
        <v>2349</v>
      </c>
      <c r="B417" s="2" t="s">
        <v>169</v>
      </c>
      <c r="C417" s="2" t="s">
        <v>2533</v>
      </c>
      <c r="D417" s="2" t="s">
        <v>193</v>
      </c>
      <c r="E417" s="2" t="s">
        <v>20</v>
      </c>
      <c r="F417" s="2" t="s">
        <v>2534</v>
      </c>
      <c r="G417" s="2" t="s">
        <v>2535</v>
      </c>
      <c r="H417" s="2" t="s">
        <v>212</v>
      </c>
      <c r="I417" s="2" t="s">
        <v>226</v>
      </c>
      <c r="J417" s="2" t="s">
        <v>44</v>
      </c>
      <c r="K417" s="2"/>
      <c r="L417" s="2" t="s">
        <v>2536</v>
      </c>
      <c r="M417" s="2" t="s">
        <v>27</v>
      </c>
      <c r="N417" s="2" t="s">
        <v>2537</v>
      </c>
      <c r="O417" s="2" t="s">
        <v>29</v>
      </c>
      <c r="P417" s="2" t="s">
        <v>2538</v>
      </c>
    </row>
    <row r="418" customFormat="false" ht="91" hidden="false" customHeight="false" outlineLevel="0" collapsed="false">
      <c r="A418" s="2" t="s">
        <v>2349</v>
      </c>
      <c r="B418" s="2" t="s">
        <v>17</v>
      </c>
      <c r="C418" s="2" t="s">
        <v>2539</v>
      </c>
      <c r="D418" s="2" t="s">
        <v>193</v>
      </c>
      <c r="E418" s="2" t="s">
        <v>20</v>
      </c>
      <c r="F418" s="2" t="s">
        <v>2540</v>
      </c>
      <c r="G418" s="2" t="s">
        <v>2541</v>
      </c>
      <c r="H418" s="2" t="s">
        <v>2542</v>
      </c>
      <c r="I418" s="2" t="s">
        <v>984</v>
      </c>
      <c r="J418" s="2" t="s">
        <v>44</v>
      </c>
      <c r="K418" s="2"/>
      <c r="L418" s="2" t="s">
        <v>2543</v>
      </c>
      <c r="M418" s="2" t="s">
        <v>27</v>
      </c>
      <c r="N418" s="2" t="s">
        <v>2544</v>
      </c>
      <c r="O418" s="2" t="s">
        <v>29</v>
      </c>
      <c r="P418" s="2" t="s">
        <v>2545</v>
      </c>
    </row>
    <row r="419" customFormat="false" ht="68.65" hidden="false" customHeight="false" outlineLevel="0" collapsed="false">
      <c r="A419" s="2" t="s">
        <v>2349</v>
      </c>
      <c r="B419" s="2" t="s">
        <v>31</v>
      </c>
      <c r="C419" s="2" t="s">
        <v>2546</v>
      </c>
      <c r="D419" s="2" t="s">
        <v>193</v>
      </c>
      <c r="E419" s="2" t="s">
        <v>20</v>
      </c>
      <c r="F419" s="2" t="s">
        <v>2547</v>
      </c>
      <c r="G419" s="2" t="s">
        <v>2548</v>
      </c>
      <c r="H419" s="2" t="s">
        <v>2549</v>
      </c>
      <c r="I419" s="2" t="s">
        <v>805</v>
      </c>
      <c r="J419" s="2" t="s">
        <v>44</v>
      </c>
      <c r="K419" s="2"/>
      <c r="L419" s="2" t="s">
        <v>2550</v>
      </c>
      <c r="M419" s="2" t="s">
        <v>27</v>
      </c>
      <c r="N419" s="2" t="s">
        <v>2551</v>
      </c>
      <c r="O419" s="2" t="s">
        <v>29</v>
      </c>
      <c r="P419" s="2" t="s">
        <v>2552</v>
      </c>
    </row>
    <row r="420" customFormat="false" ht="46.25" hidden="false" customHeight="false" outlineLevel="0" collapsed="false">
      <c r="A420" s="2" t="s">
        <v>2349</v>
      </c>
      <c r="B420" s="2" t="s">
        <v>65</v>
      </c>
      <c r="C420" s="2" t="s">
        <v>851</v>
      </c>
      <c r="D420" s="2" t="s">
        <v>193</v>
      </c>
      <c r="E420" s="2" t="s">
        <v>20</v>
      </c>
      <c r="F420" s="2" t="s">
        <v>2553</v>
      </c>
      <c r="G420" s="2" t="s">
        <v>2554</v>
      </c>
      <c r="H420" s="2" t="s">
        <v>212</v>
      </c>
      <c r="I420" s="2" t="s">
        <v>24</v>
      </c>
      <c r="J420" s="2" t="s">
        <v>44</v>
      </c>
      <c r="K420" s="2"/>
      <c r="L420" s="2" t="s">
        <v>2555</v>
      </c>
      <c r="M420" s="2" t="s">
        <v>27</v>
      </c>
      <c r="N420" s="2" t="s">
        <v>2556</v>
      </c>
      <c r="O420" s="2" t="s">
        <v>29</v>
      </c>
      <c r="P420" s="2" t="s">
        <v>843</v>
      </c>
    </row>
    <row r="421" customFormat="false" ht="124.6" hidden="false" customHeight="false" outlineLevel="0" collapsed="false">
      <c r="A421" s="2" t="s">
        <v>2349</v>
      </c>
      <c r="B421" s="2" t="s">
        <v>31</v>
      </c>
      <c r="C421" s="2" t="s">
        <v>883</v>
      </c>
      <c r="D421" s="2" t="s">
        <v>193</v>
      </c>
      <c r="E421" s="2" t="s">
        <v>20</v>
      </c>
      <c r="F421" s="2" t="s">
        <v>2557</v>
      </c>
      <c r="G421" s="2" t="s">
        <v>2558</v>
      </c>
      <c r="H421" s="2" t="s">
        <v>43</v>
      </c>
      <c r="I421" s="2" t="s">
        <v>2559</v>
      </c>
      <c r="J421" s="2" t="s">
        <v>118</v>
      </c>
      <c r="K421" s="2"/>
      <c r="L421" s="2" t="s">
        <v>394</v>
      </c>
      <c r="M421" s="2" t="s">
        <v>46</v>
      </c>
      <c r="N421" s="2" t="s">
        <v>2560</v>
      </c>
      <c r="O421" s="2" t="s">
        <v>29</v>
      </c>
      <c r="P421" s="2" t="s">
        <v>2561</v>
      </c>
    </row>
    <row r="422" customFormat="false" ht="79.85" hidden="false" customHeight="false" outlineLevel="0" collapsed="false">
      <c r="A422" s="2" t="s">
        <v>2349</v>
      </c>
      <c r="B422" s="2" t="s">
        <v>17</v>
      </c>
      <c r="C422" s="2" t="s">
        <v>2562</v>
      </c>
      <c r="D422" s="2" t="s">
        <v>193</v>
      </c>
      <c r="E422" s="2" t="s">
        <v>20</v>
      </c>
      <c r="F422" s="2" t="s">
        <v>2563</v>
      </c>
      <c r="G422" s="2" t="s">
        <v>2564</v>
      </c>
      <c r="H422" s="2" t="s">
        <v>212</v>
      </c>
      <c r="I422" s="2" t="s">
        <v>226</v>
      </c>
      <c r="J422" s="2" t="s">
        <v>44</v>
      </c>
      <c r="K422" s="2"/>
      <c r="L422" s="2" t="s">
        <v>2565</v>
      </c>
      <c r="M422" s="2" t="s">
        <v>27</v>
      </c>
      <c r="N422" s="2" t="s">
        <v>2566</v>
      </c>
      <c r="O422" s="2" t="s">
        <v>29</v>
      </c>
      <c r="P422" s="2" t="s">
        <v>2567</v>
      </c>
    </row>
    <row r="423" customFormat="false" ht="91" hidden="false" customHeight="false" outlineLevel="0" collapsed="false">
      <c r="A423" s="2" t="s">
        <v>2349</v>
      </c>
      <c r="B423" s="2" t="s">
        <v>17</v>
      </c>
      <c r="C423" s="2" t="s">
        <v>883</v>
      </c>
      <c r="D423" s="2" t="s">
        <v>193</v>
      </c>
      <c r="E423" s="2" t="s">
        <v>20</v>
      </c>
      <c r="F423" s="2" t="s">
        <v>2568</v>
      </c>
      <c r="G423" s="2" t="s">
        <v>2569</v>
      </c>
      <c r="H423" s="2" t="s">
        <v>2570</v>
      </c>
      <c r="I423" s="2" t="s">
        <v>226</v>
      </c>
      <c r="J423" s="2" t="s">
        <v>118</v>
      </c>
      <c r="K423" s="2"/>
      <c r="L423" s="2" t="s">
        <v>2571</v>
      </c>
      <c r="M423" s="2" t="s">
        <v>27</v>
      </c>
      <c r="N423" s="2" t="s">
        <v>2572</v>
      </c>
      <c r="O423" s="2" t="s">
        <v>29</v>
      </c>
      <c r="P423" s="2" t="s">
        <v>2573</v>
      </c>
    </row>
    <row r="424" customFormat="false" ht="79.85" hidden="false" customHeight="false" outlineLevel="0" collapsed="false">
      <c r="A424" s="2" t="s">
        <v>2349</v>
      </c>
      <c r="B424" s="2" t="s">
        <v>17</v>
      </c>
      <c r="C424" s="2" t="s">
        <v>2574</v>
      </c>
      <c r="D424" s="2" t="s">
        <v>193</v>
      </c>
      <c r="E424" s="2" t="s">
        <v>20</v>
      </c>
      <c r="F424" s="2" t="s">
        <v>2575</v>
      </c>
      <c r="G424" s="2" t="s">
        <v>2576</v>
      </c>
      <c r="H424" s="2" t="s">
        <v>2523</v>
      </c>
      <c r="I424" s="2" t="s">
        <v>372</v>
      </c>
      <c r="J424" s="2" t="s">
        <v>44</v>
      </c>
      <c r="K424" s="2"/>
      <c r="L424" s="2" t="s">
        <v>2577</v>
      </c>
      <c r="M424" s="2" t="s">
        <v>27</v>
      </c>
      <c r="N424" s="2" t="s">
        <v>2578</v>
      </c>
      <c r="O424" s="2" t="s">
        <v>29</v>
      </c>
      <c r="P424" s="2" t="s">
        <v>215</v>
      </c>
    </row>
    <row r="425" customFormat="false" ht="68.65" hidden="false" customHeight="false" outlineLevel="0" collapsed="false">
      <c r="A425" s="2" t="s">
        <v>2349</v>
      </c>
      <c r="B425" s="2" t="s">
        <v>31</v>
      </c>
      <c r="C425" s="2" t="s">
        <v>2579</v>
      </c>
      <c r="D425" s="2" t="s">
        <v>247</v>
      </c>
      <c r="E425" s="2" t="s">
        <v>67</v>
      </c>
      <c r="F425" s="2" t="s">
        <v>2580</v>
      </c>
      <c r="G425" s="2" t="s">
        <v>2581</v>
      </c>
      <c r="H425" s="2" t="s">
        <v>212</v>
      </c>
      <c r="I425" s="2" t="s">
        <v>233</v>
      </c>
      <c r="J425" s="2" t="s">
        <v>44</v>
      </c>
      <c r="K425" s="2"/>
      <c r="L425" s="2" t="s">
        <v>2582</v>
      </c>
      <c r="M425" s="2" t="s">
        <v>121</v>
      </c>
      <c r="N425" s="2" t="s">
        <v>2583</v>
      </c>
      <c r="O425" s="2" t="s">
        <v>29</v>
      </c>
      <c r="P425" s="2" t="s">
        <v>2584</v>
      </c>
    </row>
    <row r="426" customFormat="false" ht="102.2" hidden="false" customHeight="false" outlineLevel="0" collapsed="false">
      <c r="A426" s="2" t="s">
        <v>2349</v>
      </c>
      <c r="B426" s="2" t="s">
        <v>17</v>
      </c>
      <c r="C426" s="2" t="s">
        <v>2585</v>
      </c>
      <c r="D426" s="2" t="s">
        <v>247</v>
      </c>
      <c r="E426" s="2" t="s">
        <v>67</v>
      </c>
      <c r="F426" s="2" t="s">
        <v>2586</v>
      </c>
      <c r="G426" s="2" t="s">
        <v>2587</v>
      </c>
      <c r="H426" s="2" t="s">
        <v>2588</v>
      </c>
      <c r="I426" s="2" t="s">
        <v>1786</v>
      </c>
      <c r="J426" s="2" t="s">
        <v>44</v>
      </c>
      <c r="K426" s="2"/>
      <c r="L426" s="2" t="s">
        <v>2589</v>
      </c>
      <c r="M426" s="2" t="s">
        <v>27</v>
      </c>
      <c r="N426" s="2" t="s">
        <v>2590</v>
      </c>
      <c r="O426" s="2" t="s">
        <v>29</v>
      </c>
      <c r="P426" s="2" t="s">
        <v>2591</v>
      </c>
    </row>
    <row r="427" customFormat="false" ht="91" hidden="false" customHeight="false" outlineLevel="0" collapsed="false">
      <c r="A427" s="2" t="s">
        <v>2349</v>
      </c>
      <c r="B427" s="2" t="s">
        <v>17</v>
      </c>
      <c r="C427" s="2" t="s">
        <v>2592</v>
      </c>
      <c r="D427" s="2" t="s">
        <v>247</v>
      </c>
      <c r="E427" s="2" t="s">
        <v>67</v>
      </c>
      <c r="F427" s="2" t="s">
        <v>2593</v>
      </c>
      <c r="G427" s="2" t="s">
        <v>2594</v>
      </c>
      <c r="H427" s="2" t="s">
        <v>2595</v>
      </c>
      <c r="I427" s="2" t="s">
        <v>36</v>
      </c>
      <c r="J427" s="2" t="s">
        <v>44</v>
      </c>
      <c r="K427" s="2"/>
      <c r="L427" s="2" t="s">
        <v>2596</v>
      </c>
      <c r="M427" s="2" t="s">
        <v>46</v>
      </c>
      <c r="N427" s="2" t="s">
        <v>2597</v>
      </c>
      <c r="O427" s="2" t="s">
        <v>29</v>
      </c>
      <c r="P427" s="2" t="s">
        <v>2598</v>
      </c>
    </row>
    <row r="428" customFormat="false" ht="57.45" hidden="false" customHeight="false" outlineLevel="0" collapsed="false">
      <c r="A428" s="2" t="s">
        <v>2349</v>
      </c>
      <c r="B428" s="2" t="s">
        <v>288</v>
      </c>
      <c r="C428" s="2" t="s">
        <v>2599</v>
      </c>
      <c r="D428" s="2" t="s">
        <v>247</v>
      </c>
      <c r="E428" s="2" t="s">
        <v>140</v>
      </c>
      <c r="F428" s="2" t="s">
        <v>2600</v>
      </c>
      <c r="G428" s="2" t="s">
        <v>2601</v>
      </c>
      <c r="H428" s="2" t="s">
        <v>258</v>
      </c>
      <c r="I428" s="2" t="s">
        <v>2602</v>
      </c>
      <c r="J428" s="2" t="s">
        <v>25</v>
      </c>
      <c r="K428" s="2" t="s">
        <v>93</v>
      </c>
      <c r="L428" s="2" t="s">
        <v>2603</v>
      </c>
      <c r="M428" s="2" t="s">
        <v>46</v>
      </c>
      <c r="N428" s="2" t="s">
        <v>2604</v>
      </c>
      <c r="O428" s="2" t="s">
        <v>29</v>
      </c>
      <c r="P428" s="2" t="s">
        <v>2605</v>
      </c>
    </row>
    <row r="429" customFormat="false" ht="57.45" hidden="false" customHeight="false" outlineLevel="0" collapsed="false">
      <c r="A429" s="2" t="s">
        <v>2349</v>
      </c>
      <c r="B429" s="2" t="s">
        <v>17</v>
      </c>
      <c r="C429" s="2" t="s">
        <v>2606</v>
      </c>
      <c r="D429" s="2" t="s">
        <v>247</v>
      </c>
      <c r="E429" s="2" t="s">
        <v>67</v>
      </c>
      <c r="F429" s="2" t="s">
        <v>2607</v>
      </c>
      <c r="G429" s="2" t="s">
        <v>2608</v>
      </c>
      <c r="H429" s="2" t="s">
        <v>2549</v>
      </c>
      <c r="I429" s="2" t="s">
        <v>2609</v>
      </c>
      <c r="J429" s="2" t="s">
        <v>44</v>
      </c>
      <c r="K429" s="2"/>
      <c r="L429" s="2" t="s">
        <v>2486</v>
      </c>
      <c r="M429" s="2" t="s">
        <v>46</v>
      </c>
      <c r="N429" s="2" t="s">
        <v>2610</v>
      </c>
      <c r="O429" s="2" t="s">
        <v>29</v>
      </c>
      <c r="P429" s="2" t="s">
        <v>2611</v>
      </c>
    </row>
    <row r="430" customFormat="false" ht="79.85" hidden="false" customHeight="false" outlineLevel="0" collapsed="false">
      <c r="A430" s="2" t="s">
        <v>2349</v>
      </c>
      <c r="B430" s="2" t="s">
        <v>65</v>
      </c>
      <c r="C430" s="2" t="s">
        <v>2612</v>
      </c>
      <c r="D430" s="2" t="s">
        <v>247</v>
      </c>
      <c r="E430" s="2" t="s">
        <v>140</v>
      </c>
      <c r="F430" s="2" t="s">
        <v>2613</v>
      </c>
      <c r="G430" s="2" t="s">
        <v>2614</v>
      </c>
      <c r="H430" s="2" t="s">
        <v>292</v>
      </c>
      <c r="I430" s="2" t="s">
        <v>2615</v>
      </c>
      <c r="J430" s="2" t="s">
        <v>25</v>
      </c>
      <c r="K430" s="2" t="s">
        <v>93</v>
      </c>
      <c r="L430" s="2" t="s">
        <v>2616</v>
      </c>
      <c r="M430" s="2" t="s">
        <v>46</v>
      </c>
      <c r="N430" s="2" t="s">
        <v>2617</v>
      </c>
      <c r="O430" s="2" t="s">
        <v>29</v>
      </c>
      <c r="P430" s="2" t="s">
        <v>2618</v>
      </c>
    </row>
    <row r="431" customFormat="false" ht="57.45" hidden="false" customHeight="false" outlineLevel="0" collapsed="false">
      <c r="A431" s="2" t="s">
        <v>2349</v>
      </c>
      <c r="B431" s="2" t="s">
        <v>17</v>
      </c>
      <c r="C431" s="2" t="s">
        <v>2619</v>
      </c>
      <c r="D431" s="2" t="s">
        <v>247</v>
      </c>
      <c r="E431" s="2" t="s">
        <v>67</v>
      </c>
      <c r="F431" s="2" t="s">
        <v>2620</v>
      </c>
      <c r="G431" s="2" t="s">
        <v>2621</v>
      </c>
      <c r="H431" s="2" t="s">
        <v>2622</v>
      </c>
      <c r="I431" s="2" t="s">
        <v>24</v>
      </c>
      <c r="J431" s="2" t="s">
        <v>44</v>
      </c>
      <c r="K431" s="2"/>
      <c r="L431" s="2" t="s">
        <v>2623</v>
      </c>
      <c r="M431" s="2" t="s">
        <v>46</v>
      </c>
      <c r="N431" s="2" t="s">
        <v>2624</v>
      </c>
      <c r="O431" s="2" t="s">
        <v>29</v>
      </c>
      <c r="P431" s="2" t="s">
        <v>2625</v>
      </c>
    </row>
    <row r="432" customFormat="false" ht="91" hidden="false" customHeight="false" outlineLevel="0" collapsed="false">
      <c r="A432" s="2" t="s">
        <v>2349</v>
      </c>
      <c r="B432" s="2" t="s">
        <v>17</v>
      </c>
      <c r="C432" s="2" t="s">
        <v>2626</v>
      </c>
      <c r="D432" s="2" t="s">
        <v>247</v>
      </c>
      <c r="E432" s="2" t="s">
        <v>67</v>
      </c>
      <c r="F432" s="2" t="s">
        <v>2627</v>
      </c>
      <c r="G432" s="2" t="s">
        <v>2628</v>
      </c>
      <c r="H432" s="2" t="s">
        <v>212</v>
      </c>
      <c r="I432" s="2" t="s">
        <v>2629</v>
      </c>
      <c r="J432" s="2" t="s">
        <v>44</v>
      </c>
      <c r="K432" s="2"/>
      <c r="L432" s="2" t="s">
        <v>2630</v>
      </c>
      <c r="M432" s="2" t="s">
        <v>27</v>
      </c>
      <c r="N432" s="2" t="s">
        <v>2631</v>
      </c>
      <c r="O432" s="2" t="s">
        <v>29</v>
      </c>
      <c r="P432" s="2" t="s">
        <v>2632</v>
      </c>
    </row>
    <row r="433" customFormat="false" ht="57.45" hidden="false" customHeight="false" outlineLevel="0" collapsed="false">
      <c r="A433" s="2" t="s">
        <v>2349</v>
      </c>
      <c r="B433" s="2" t="s">
        <v>288</v>
      </c>
      <c r="C433" s="2" t="s">
        <v>2633</v>
      </c>
      <c r="D433" s="2" t="s">
        <v>247</v>
      </c>
      <c r="E433" s="2" t="s">
        <v>20</v>
      </c>
      <c r="F433" s="2" t="s">
        <v>2634</v>
      </c>
      <c r="G433" s="2" t="s">
        <v>2635</v>
      </c>
      <c r="H433" s="2" t="s">
        <v>2636</v>
      </c>
      <c r="I433" s="2" t="s">
        <v>372</v>
      </c>
      <c r="J433" s="2" t="s">
        <v>44</v>
      </c>
      <c r="K433" s="2" t="s">
        <v>2637</v>
      </c>
      <c r="L433" s="2" t="s">
        <v>2638</v>
      </c>
      <c r="M433" s="2" t="s">
        <v>46</v>
      </c>
      <c r="N433" s="2" t="s">
        <v>2639</v>
      </c>
      <c r="O433" s="2" t="s">
        <v>29</v>
      </c>
      <c r="P433" s="2" t="s">
        <v>2640</v>
      </c>
    </row>
    <row r="434" customFormat="false" ht="68.65" hidden="false" customHeight="false" outlineLevel="0" collapsed="false">
      <c r="A434" s="2" t="s">
        <v>2349</v>
      </c>
      <c r="B434" s="2" t="s">
        <v>17</v>
      </c>
      <c r="C434" s="2" t="s">
        <v>2641</v>
      </c>
      <c r="D434" s="2" t="s">
        <v>247</v>
      </c>
      <c r="E434" s="2" t="s">
        <v>67</v>
      </c>
      <c r="F434" s="2" t="s">
        <v>2642</v>
      </c>
      <c r="G434" s="2" t="s">
        <v>2643</v>
      </c>
      <c r="H434" s="2" t="s">
        <v>2644</v>
      </c>
      <c r="I434" s="2" t="s">
        <v>1036</v>
      </c>
      <c r="J434" s="2" t="s">
        <v>44</v>
      </c>
      <c r="K434" s="2"/>
      <c r="L434" s="2" t="s">
        <v>2486</v>
      </c>
      <c r="M434" s="2" t="s">
        <v>46</v>
      </c>
      <c r="N434" s="2" t="s">
        <v>2645</v>
      </c>
      <c r="O434" s="2" t="s">
        <v>29</v>
      </c>
      <c r="P434" s="2" t="s">
        <v>2646</v>
      </c>
    </row>
    <row r="435" customFormat="false" ht="102.2" hidden="false" customHeight="false" outlineLevel="0" collapsed="false">
      <c r="A435" s="2" t="s">
        <v>2349</v>
      </c>
      <c r="B435" s="2" t="s">
        <v>17</v>
      </c>
      <c r="C435" s="2" t="s">
        <v>2647</v>
      </c>
      <c r="D435" s="2" t="s">
        <v>247</v>
      </c>
      <c r="E435" s="2" t="s">
        <v>67</v>
      </c>
      <c r="F435" s="2" t="s">
        <v>2648</v>
      </c>
      <c r="G435" s="2" t="s">
        <v>2649</v>
      </c>
      <c r="H435" s="2" t="s">
        <v>2650</v>
      </c>
      <c r="I435" s="2" t="s">
        <v>372</v>
      </c>
      <c r="J435" s="2" t="s">
        <v>44</v>
      </c>
      <c r="K435" s="2"/>
      <c r="L435" s="2" t="s">
        <v>251</v>
      </c>
      <c r="M435" s="2" t="s">
        <v>46</v>
      </c>
      <c r="N435" s="2" t="s">
        <v>2651</v>
      </c>
      <c r="O435" s="2" t="s">
        <v>29</v>
      </c>
      <c r="P435" s="2" t="s">
        <v>2652</v>
      </c>
    </row>
    <row r="436" customFormat="false" ht="169.4" hidden="false" customHeight="false" outlineLevel="0" collapsed="false">
      <c r="A436" s="2" t="s">
        <v>2349</v>
      </c>
      <c r="B436" s="2" t="s">
        <v>31</v>
      </c>
      <c r="C436" s="2" t="s">
        <v>2653</v>
      </c>
      <c r="D436" s="2" t="s">
        <v>247</v>
      </c>
      <c r="E436" s="2" t="s">
        <v>67</v>
      </c>
      <c r="F436" s="2" t="s">
        <v>2654</v>
      </c>
      <c r="G436" s="2" t="s">
        <v>2655</v>
      </c>
      <c r="H436" s="2" t="s">
        <v>2656</v>
      </c>
      <c r="I436" s="2" t="s">
        <v>36</v>
      </c>
      <c r="J436" s="2" t="s">
        <v>44</v>
      </c>
      <c r="K436" s="2"/>
      <c r="L436" s="2" t="s">
        <v>2657</v>
      </c>
      <c r="M436" s="2" t="s">
        <v>243</v>
      </c>
      <c r="N436" s="2" t="s">
        <v>2658</v>
      </c>
      <c r="O436" s="2" t="s">
        <v>29</v>
      </c>
      <c r="P436" s="2" t="s">
        <v>2659</v>
      </c>
    </row>
    <row r="437" customFormat="false" ht="57.45" hidden="false" customHeight="false" outlineLevel="0" collapsed="false">
      <c r="A437" s="2" t="s">
        <v>2349</v>
      </c>
      <c r="B437" s="2" t="s">
        <v>254</v>
      </c>
      <c r="C437" s="2" t="s">
        <v>2660</v>
      </c>
      <c r="D437" s="2" t="s">
        <v>247</v>
      </c>
      <c r="E437" s="2" t="s">
        <v>67</v>
      </c>
      <c r="F437" s="2" t="s">
        <v>2661</v>
      </c>
      <c r="G437" s="2" t="s">
        <v>2662</v>
      </c>
      <c r="H437" s="2" t="s">
        <v>292</v>
      </c>
      <c r="I437" s="2" t="s">
        <v>2663</v>
      </c>
      <c r="J437" s="2" t="s">
        <v>25</v>
      </c>
      <c r="K437" s="2"/>
      <c r="L437" s="2" t="s">
        <v>2427</v>
      </c>
      <c r="M437" s="2" t="s">
        <v>46</v>
      </c>
      <c r="N437" s="2" t="s">
        <v>2664</v>
      </c>
      <c r="O437" s="2" t="s">
        <v>29</v>
      </c>
      <c r="P437" s="2" t="s">
        <v>2665</v>
      </c>
    </row>
    <row r="438" customFormat="false" ht="91" hidden="false" customHeight="false" outlineLevel="0" collapsed="false">
      <c r="A438" s="2" t="s">
        <v>2349</v>
      </c>
      <c r="B438" s="2" t="s">
        <v>17</v>
      </c>
      <c r="C438" s="2" t="s">
        <v>2666</v>
      </c>
      <c r="D438" s="2" t="s">
        <v>247</v>
      </c>
      <c r="E438" s="2" t="s">
        <v>67</v>
      </c>
      <c r="F438" s="2" t="s">
        <v>2667</v>
      </c>
      <c r="G438" s="2" t="s">
        <v>2668</v>
      </c>
      <c r="H438" s="2" t="s">
        <v>2669</v>
      </c>
      <c r="I438" s="2" t="s">
        <v>2670</v>
      </c>
      <c r="J438" s="2" t="s">
        <v>44</v>
      </c>
      <c r="K438" s="2"/>
      <c r="L438" s="2" t="s">
        <v>2671</v>
      </c>
      <c r="M438" s="2" t="s">
        <v>27</v>
      </c>
      <c r="N438" s="2" t="s">
        <v>2672</v>
      </c>
      <c r="O438" s="2" t="s">
        <v>29</v>
      </c>
      <c r="P438" s="2" t="s">
        <v>2673</v>
      </c>
    </row>
    <row r="439" customFormat="false" ht="57.45" hidden="false" customHeight="false" outlineLevel="0" collapsed="false">
      <c r="A439" s="2" t="s">
        <v>2349</v>
      </c>
      <c r="B439" s="2" t="s">
        <v>31</v>
      </c>
      <c r="C439" s="2" t="s">
        <v>2674</v>
      </c>
      <c r="D439" s="2" t="s">
        <v>247</v>
      </c>
      <c r="E439" s="2" t="s">
        <v>20</v>
      </c>
      <c r="F439" s="2" t="s">
        <v>2675</v>
      </c>
      <c r="G439" s="2" t="s">
        <v>2676</v>
      </c>
      <c r="H439" s="2" t="s">
        <v>2677</v>
      </c>
      <c r="I439" s="2" t="s">
        <v>2678</v>
      </c>
      <c r="J439" s="2" t="s">
        <v>25</v>
      </c>
      <c r="K439" s="2"/>
      <c r="L439" s="2" t="s">
        <v>2679</v>
      </c>
      <c r="M439" s="2" t="s">
        <v>46</v>
      </c>
      <c r="N439" s="2" t="s">
        <v>2680</v>
      </c>
      <c r="O439" s="2" t="s">
        <v>29</v>
      </c>
      <c r="P439" s="2" t="s">
        <v>2681</v>
      </c>
    </row>
    <row r="440" customFormat="false" ht="79.85" hidden="false" customHeight="false" outlineLevel="0" collapsed="false">
      <c r="A440" s="2" t="s">
        <v>2349</v>
      </c>
      <c r="B440" s="2" t="s">
        <v>17</v>
      </c>
      <c r="C440" s="2" t="s">
        <v>349</v>
      </c>
      <c r="D440" s="2" t="s">
        <v>320</v>
      </c>
      <c r="E440" s="2" t="s">
        <v>20</v>
      </c>
      <c r="F440" s="2" t="s">
        <v>2682</v>
      </c>
      <c r="G440" s="2" t="s">
        <v>2683</v>
      </c>
      <c r="H440" s="2" t="s">
        <v>1055</v>
      </c>
      <c r="I440" s="2" t="s">
        <v>359</v>
      </c>
      <c r="J440" s="2" t="s">
        <v>346</v>
      </c>
      <c r="K440" s="2"/>
      <c r="L440" s="2" t="s">
        <v>2684</v>
      </c>
      <c r="M440" s="2" t="s">
        <v>160</v>
      </c>
      <c r="N440" s="2" t="s">
        <v>2685</v>
      </c>
      <c r="O440" s="2" t="s">
        <v>29</v>
      </c>
      <c r="P440" s="2" t="s">
        <v>341</v>
      </c>
    </row>
    <row r="441" customFormat="false" ht="79.85" hidden="false" customHeight="false" outlineLevel="0" collapsed="false">
      <c r="A441" s="2" t="s">
        <v>2349</v>
      </c>
      <c r="B441" s="2" t="s">
        <v>17</v>
      </c>
      <c r="C441" s="2" t="s">
        <v>2686</v>
      </c>
      <c r="D441" s="2" t="s">
        <v>320</v>
      </c>
      <c r="E441" s="2" t="s">
        <v>20</v>
      </c>
      <c r="F441" s="2" t="s">
        <v>2687</v>
      </c>
      <c r="G441" s="2" t="s">
        <v>2688</v>
      </c>
      <c r="H441" s="2" t="s">
        <v>258</v>
      </c>
      <c r="I441" s="2" t="s">
        <v>226</v>
      </c>
      <c r="J441" s="2" t="s">
        <v>44</v>
      </c>
      <c r="K441" s="2"/>
      <c r="L441" s="2" t="s">
        <v>2689</v>
      </c>
      <c r="M441" s="2" t="s">
        <v>160</v>
      </c>
      <c r="N441" s="2" t="s">
        <v>2690</v>
      </c>
      <c r="O441" s="2" t="s">
        <v>29</v>
      </c>
      <c r="P441" s="2" t="s">
        <v>341</v>
      </c>
    </row>
    <row r="442" customFormat="false" ht="57.45" hidden="false" customHeight="false" outlineLevel="0" collapsed="false">
      <c r="A442" s="2" t="s">
        <v>2349</v>
      </c>
      <c r="B442" s="2" t="s">
        <v>17</v>
      </c>
      <c r="C442" s="2" t="s">
        <v>2691</v>
      </c>
      <c r="D442" s="2" t="s">
        <v>320</v>
      </c>
      <c r="E442" s="2" t="s">
        <v>20</v>
      </c>
      <c r="F442" s="2" t="s">
        <v>2692</v>
      </c>
      <c r="G442" s="2" t="s">
        <v>2693</v>
      </c>
      <c r="H442" s="2" t="s">
        <v>2098</v>
      </c>
      <c r="I442" s="2" t="s">
        <v>1056</v>
      </c>
      <c r="J442" s="2" t="s">
        <v>44</v>
      </c>
      <c r="K442" s="2"/>
      <c r="L442" s="2" t="s">
        <v>2694</v>
      </c>
      <c r="M442" s="2" t="s">
        <v>27</v>
      </c>
      <c r="N442" s="2" t="s">
        <v>2695</v>
      </c>
      <c r="O442" s="2" t="s">
        <v>29</v>
      </c>
      <c r="P442" s="2" t="s">
        <v>2696</v>
      </c>
    </row>
    <row r="443" customFormat="false" ht="57.45" hidden="false" customHeight="false" outlineLevel="0" collapsed="false">
      <c r="A443" s="2" t="s">
        <v>2349</v>
      </c>
      <c r="B443" s="2" t="s">
        <v>17</v>
      </c>
      <c r="C443" s="2" t="s">
        <v>2697</v>
      </c>
      <c r="D443" s="2" t="s">
        <v>320</v>
      </c>
      <c r="E443" s="2" t="s">
        <v>20</v>
      </c>
      <c r="F443" s="2" t="s">
        <v>2698</v>
      </c>
      <c r="G443" s="2" t="s">
        <v>2699</v>
      </c>
      <c r="H443" s="2" t="s">
        <v>1071</v>
      </c>
      <c r="I443" s="2" t="s">
        <v>250</v>
      </c>
      <c r="J443" s="2" t="s">
        <v>44</v>
      </c>
      <c r="K443" s="2"/>
      <c r="L443" s="2" t="s">
        <v>2700</v>
      </c>
      <c r="M443" s="2" t="s">
        <v>160</v>
      </c>
      <c r="N443" s="2" t="s">
        <v>2701</v>
      </c>
      <c r="O443" s="2" t="s">
        <v>29</v>
      </c>
      <c r="P443" s="2" t="s">
        <v>2702</v>
      </c>
    </row>
    <row r="444" customFormat="false" ht="68.65" hidden="false" customHeight="false" outlineLevel="0" collapsed="false">
      <c r="A444" s="2" t="s">
        <v>2349</v>
      </c>
      <c r="B444" s="2" t="s">
        <v>169</v>
      </c>
      <c r="C444" s="2" t="s">
        <v>2703</v>
      </c>
      <c r="D444" s="2" t="s">
        <v>320</v>
      </c>
      <c r="E444" s="2" t="s">
        <v>20</v>
      </c>
      <c r="F444" s="2" t="s">
        <v>2704</v>
      </c>
      <c r="G444" s="2" t="s">
        <v>2705</v>
      </c>
      <c r="H444" s="2" t="s">
        <v>2706</v>
      </c>
      <c r="I444" s="2" t="s">
        <v>738</v>
      </c>
      <c r="J444" s="2" t="s">
        <v>44</v>
      </c>
      <c r="K444" s="2"/>
      <c r="L444" s="2" t="s">
        <v>2707</v>
      </c>
      <c r="M444" s="2" t="s">
        <v>160</v>
      </c>
      <c r="N444" s="2" t="s">
        <v>2708</v>
      </c>
      <c r="O444" s="2" t="s">
        <v>29</v>
      </c>
      <c r="P444" s="2" t="s">
        <v>2709</v>
      </c>
    </row>
    <row r="445" customFormat="false" ht="57.45" hidden="false" customHeight="false" outlineLevel="0" collapsed="false">
      <c r="A445" s="2" t="s">
        <v>2349</v>
      </c>
      <c r="B445" s="2" t="s">
        <v>17</v>
      </c>
      <c r="C445" s="2" t="s">
        <v>2710</v>
      </c>
      <c r="D445" s="2" t="s">
        <v>320</v>
      </c>
      <c r="E445" s="2" t="s">
        <v>20</v>
      </c>
      <c r="F445" s="2" t="s">
        <v>2711</v>
      </c>
      <c r="G445" s="2" t="s">
        <v>2712</v>
      </c>
      <c r="H445" s="2" t="s">
        <v>2713</v>
      </c>
      <c r="I445" s="2" t="s">
        <v>969</v>
      </c>
      <c r="J445" s="2" t="s">
        <v>44</v>
      </c>
      <c r="K445" s="2"/>
      <c r="L445" s="2" t="s">
        <v>2714</v>
      </c>
      <c r="M445" s="2" t="s">
        <v>160</v>
      </c>
      <c r="N445" s="2" t="s">
        <v>2715</v>
      </c>
      <c r="O445" s="2" t="s">
        <v>29</v>
      </c>
      <c r="P445" s="2" t="s">
        <v>2716</v>
      </c>
    </row>
    <row r="446" customFormat="false" ht="124.6" hidden="false" customHeight="false" outlineLevel="0" collapsed="false">
      <c r="A446" s="2" t="s">
        <v>2349</v>
      </c>
      <c r="B446" s="2" t="s">
        <v>17</v>
      </c>
      <c r="C446" s="2" t="s">
        <v>349</v>
      </c>
      <c r="D446" s="2" t="s">
        <v>320</v>
      </c>
      <c r="E446" s="2" t="s">
        <v>20</v>
      </c>
      <c r="F446" s="2" t="s">
        <v>2717</v>
      </c>
      <c r="G446" s="2" t="s">
        <v>2718</v>
      </c>
      <c r="H446" s="2" t="s">
        <v>1029</v>
      </c>
      <c r="I446" s="2" t="s">
        <v>2719</v>
      </c>
      <c r="J446" s="4" t="n">
        <v>46221</v>
      </c>
      <c r="K446" s="2" t="s">
        <v>2720</v>
      </c>
      <c r="L446" s="2" t="s">
        <v>2721</v>
      </c>
      <c r="M446" s="2" t="s">
        <v>160</v>
      </c>
      <c r="N446" s="2" t="s">
        <v>2722</v>
      </c>
      <c r="O446" s="2" t="s">
        <v>29</v>
      </c>
      <c r="P446" s="2" t="s">
        <v>2112</v>
      </c>
    </row>
    <row r="447" customFormat="false" ht="57.45" hidden="false" customHeight="false" outlineLevel="0" collapsed="false">
      <c r="A447" s="2" t="s">
        <v>2349</v>
      </c>
      <c r="B447" s="2" t="s">
        <v>17</v>
      </c>
      <c r="C447" s="2" t="s">
        <v>980</v>
      </c>
      <c r="D447" s="2" t="s">
        <v>320</v>
      </c>
      <c r="E447" s="2" t="s">
        <v>20</v>
      </c>
      <c r="F447" s="2" t="s">
        <v>2723</v>
      </c>
      <c r="G447" s="2" t="s">
        <v>2724</v>
      </c>
      <c r="H447" s="2" t="s">
        <v>983</v>
      </c>
      <c r="I447" s="2" t="s">
        <v>36</v>
      </c>
      <c r="J447" s="2" t="s">
        <v>44</v>
      </c>
      <c r="K447" s="2"/>
      <c r="L447" s="2" t="s">
        <v>135</v>
      </c>
      <c r="M447" s="2" t="s">
        <v>46</v>
      </c>
      <c r="N447" s="2" t="s">
        <v>2725</v>
      </c>
      <c r="O447" s="2" t="s">
        <v>29</v>
      </c>
      <c r="P447" s="2" t="s">
        <v>2726</v>
      </c>
    </row>
    <row r="448" customFormat="false" ht="79.85" hidden="false" customHeight="false" outlineLevel="0" collapsed="false">
      <c r="A448" s="2" t="s">
        <v>2349</v>
      </c>
      <c r="B448" s="2" t="s">
        <v>17</v>
      </c>
      <c r="C448" s="2" t="s">
        <v>2727</v>
      </c>
      <c r="D448" s="2" t="s">
        <v>320</v>
      </c>
      <c r="E448" s="2" t="s">
        <v>20</v>
      </c>
      <c r="F448" s="2" t="s">
        <v>2728</v>
      </c>
      <c r="G448" s="2" t="s">
        <v>2729</v>
      </c>
      <c r="H448" s="2" t="s">
        <v>2730</v>
      </c>
      <c r="I448" s="2" t="s">
        <v>2731</v>
      </c>
      <c r="J448" s="2" t="s">
        <v>44</v>
      </c>
      <c r="K448" s="2"/>
      <c r="L448" s="2" t="s">
        <v>2732</v>
      </c>
      <c r="M448" s="2" t="s">
        <v>160</v>
      </c>
      <c r="N448" s="2" t="s">
        <v>2733</v>
      </c>
      <c r="O448" s="2" t="s">
        <v>29</v>
      </c>
      <c r="P448" s="2" t="s">
        <v>341</v>
      </c>
    </row>
    <row r="449" customFormat="false" ht="91" hidden="false" customHeight="false" outlineLevel="0" collapsed="false">
      <c r="A449" s="2" t="s">
        <v>2349</v>
      </c>
      <c r="B449" s="2" t="s">
        <v>17</v>
      </c>
      <c r="C449" s="2" t="s">
        <v>2734</v>
      </c>
      <c r="D449" s="2" t="s">
        <v>320</v>
      </c>
      <c r="E449" s="2" t="s">
        <v>20</v>
      </c>
      <c r="F449" s="2" t="s">
        <v>2735</v>
      </c>
      <c r="G449" s="2" t="s">
        <v>2736</v>
      </c>
      <c r="H449" s="2" t="s">
        <v>2737</v>
      </c>
      <c r="I449" s="2" t="s">
        <v>226</v>
      </c>
      <c r="J449" s="2" t="s">
        <v>44</v>
      </c>
      <c r="K449" s="2"/>
      <c r="L449" s="2" t="s">
        <v>2738</v>
      </c>
      <c r="M449" s="2" t="s">
        <v>27</v>
      </c>
      <c r="N449" s="2" t="s">
        <v>2739</v>
      </c>
      <c r="O449" s="2" t="s">
        <v>29</v>
      </c>
      <c r="P449" s="2" t="s">
        <v>2740</v>
      </c>
    </row>
    <row r="450" customFormat="false" ht="202.95" hidden="false" customHeight="false" outlineLevel="0" collapsed="false">
      <c r="A450" s="2" t="s">
        <v>2349</v>
      </c>
      <c r="B450" s="2" t="s">
        <v>31</v>
      </c>
      <c r="C450" s="2" t="s">
        <v>2741</v>
      </c>
      <c r="D450" s="2" t="s">
        <v>390</v>
      </c>
      <c r="E450" s="2" t="s">
        <v>20</v>
      </c>
      <c r="F450" s="2" t="s">
        <v>2742</v>
      </c>
      <c r="G450" s="2" t="s">
        <v>2743</v>
      </c>
      <c r="H450" s="2" t="s">
        <v>1091</v>
      </c>
      <c r="I450" s="2" t="s">
        <v>226</v>
      </c>
      <c r="J450" s="2" t="s">
        <v>44</v>
      </c>
      <c r="K450" s="2"/>
      <c r="L450" s="2" t="s">
        <v>2744</v>
      </c>
      <c r="M450" s="2" t="s">
        <v>243</v>
      </c>
      <c r="N450" s="2" t="s">
        <v>2745</v>
      </c>
      <c r="O450" s="2" t="s">
        <v>29</v>
      </c>
      <c r="P450" s="2" t="s">
        <v>2746</v>
      </c>
    </row>
    <row r="451" customFormat="false" ht="124.6" hidden="false" customHeight="false" outlineLevel="0" collapsed="false">
      <c r="A451" s="2" t="s">
        <v>2349</v>
      </c>
      <c r="B451" s="2" t="s">
        <v>31</v>
      </c>
      <c r="C451" s="2" t="s">
        <v>397</v>
      </c>
      <c r="D451" s="2" t="s">
        <v>390</v>
      </c>
      <c r="E451" s="2" t="s">
        <v>20</v>
      </c>
      <c r="F451" s="2" t="s">
        <v>2747</v>
      </c>
      <c r="G451" s="2" t="s">
        <v>2748</v>
      </c>
      <c r="H451" s="2" t="s">
        <v>2749</v>
      </c>
      <c r="I451" s="2" t="s">
        <v>738</v>
      </c>
      <c r="J451" s="2" t="s">
        <v>346</v>
      </c>
      <c r="K451" s="2"/>
      <c r="L451" s="2" t="s">
        <v>1057</v>
      </c>
      <c r="M451" s="2" t="s">
        <v>1058</v>
      </c>
      <c r="N451" s="2" t="s">
        <v>1059</v>
      </c>
      <c r="O451" s="2" t="s">
        <v>29</v>
      </c>
      <c r="P451" s="2" t="s">
        <v>2750</v>
      </c>
    </row>
    <row r="452" customFormat="false" ht="169.4" hidden="false" customHeight="false" outlineLevel="0" collapsed="false">
      <c r="A452" s="2" t="s">
        <v>2349</v>
      </c>
      <c r="B452" s="2" t="s">
        <v>31</v>
      </c>
      <c r="C452" s="2" t="s">
        <v>2751</v>
      </c>
      <c r="D452" s="2" t="s">
        <v>390</v>
      </c>
      <c r="E452" s="2" t="s">
        <v>67</v>
      </c>
      <c r="F452" s="2" t="s">
        <v>2752</v>
      </c>
      <c r="G452" s="2" t="s">
        <v>2753</v>
      </c>
      <c r="H452" s="2" t="s">
        <v>1091</v>
      </c>
      <c r="I452" s="2" t="s">
        <v>36</v>
      </c>
      <c r="J452" s="2" t="s">
        <v>44</v>
      </c>
      <c r="K452" s="2"/>
      <c r="L452" s="2" t="s">
        <v>2754</v>
      </c>
      <c r="M452" s="2" t="s">
        <v>243</v>
      </c>
      <c r="N452" s="2" t="s">
        <v>2755</v>
      </c>
      <c r="O452" s="2" t="s">
        <v>29</v>
      </c>
      <c r="P452" s="2" t="s">
        <v>2756</v>
      </c>
    </row>
    <row r="453" customFormat="false" ht="57.45" hidden="false" customHeight="false" outlineLevel="0" collapsed="false">
      <c r="A453" s="2" t="s">
        <v>2349</v>
      </c>
      <c r="B453" s="2" t="s">
        <v>65</v>
      </c>
      <c r="C453" s="2" t="s">
        <v>2757</v>
      </c>
      <c r="D453" s="2" t="s">
        <v>390</v>
      </c>
      <c r="E453" s="2" t="s">
        <v>20</v>
      </c>
      <c r="F453" s="2" t="s">
        <v>2758</v>
      </c>
      <c r="G453" s="2" t="s">
        <v>2759</v>
      </c>
      <c r="H453" s="2" t="s">
        <v>459</v>
      </c>
      <c r="I453" s="2" t="s">
        <v>2760</v>
      </c>
      <c r="J453" s="2" t="s">
        <v>25</v>
      </c>
      <c r="K453" s="2"/>
      <c r="L453" s="2" t="s">
        <v>2761</v>
      </c>
      <c r="M453" s="2" t="s">
        <v>27</v>
      </c>
      <c r="N453" s="2" t="s">
        <v>2762</v>
      </c>
      <c r="O453" s="2" t="s">
        <v>29</v>
      </c>
      <c r="P453" s="2" t="s">
        <v>2763</v>
      </c>
    </row>
    <row r="454" customFormat="false" ht="102.2" hidden="false" customHeight="false" outlineLevel="0" collapsed="false">
      <c r="A454" s="2" t="s">
        <v>2349</v>
      </c>
      <c r="B454" s="2" t="s">
        <v>31</v>
      </c>
      <c r="C454" s="2" t="s">
        <v>2764</v>
      </c>
      <c r="D454" s="2" t="s">
        <v>390</v>
      </c>
      <c r="E454" s="2" t="s">
        <v>20</v>
      </c>
      <c r="F454" s="2" t="s">
        <v>2765</v>
      </c>
      <c r="G454" s="2" t="s">
        <v>2766</v>
      </c>
      <c r="H454" s="2" t="s">
        <v>1198</v>
      </c>
      <c r="I454" s="2" t="s">
        <v>226</v>
      </c>
      <c r="J454" s="2" t="s">
        <v>44</v>
      </c>
      <c r="K454" s="2"/>
      <c r="L454" s="2" t="s">
        <v>2767</v>
      </c>
      <c r="M454" s="2" t="s">
        <v>27</v>
      </c>
      <c r="N454" s="2" t="s">
        <v>2768</v>
      </c>
      <c r="O454" s="2" t="s">
        <v>29</v>
      </c>
      <c r="P454" s="2" t="s">
        <v>2769</v>
      </c>
    </row>
    <row r="455" customFormat="false" ht="113.4" hidden="false" customHeight="false" outlineLevel="0" collapsed="false">
      <c r="A455" s="2" t="s">
        <v>2349</v>
      </c>
      <c r="B455" s="2" t="s">
        <v>65</v>
      </c>
      <c r="C455" s="2" t="s">
        <v>2770</v>
      </c>
      <c r="D455" s="2" t="s">
        <v>390</v>
      </c>
      <c r="E455" s="2" t="s">
        <v>20</v>
      </c>
      <c r="F455" s="2" t="s">
        <v>2771</v>
      </c>
      <c r="G455" s="2" t="s">
        <v>2772</v>
      </c>
      <c r="H455" s="2" t="s">
        <v>451</v>
      </c>
      <c r="I455" s="2" t="s">
        <v>405</v>
      </c>
      <c r="J455" s="2" t="s">
        <v>25</v>
      </c>
      <c r="K455" s="2"/>
      <c r="L455" s="2" t="s">
        <v>2414</v>
      </c>
      <c r="M455" s="2" t="s">
        <v>46</v>
      </c>
      <c r="N455" s="2" t="s">
        <v>2415</v>
      </c>
      <c r="O455" s="2" t="s">
        <v>29</v>
      </c>
      <c r="P455" s="2" t="s">
        <v>2773</v>
      </c>
    </row>
    <row r="456" customFormat="false" ht="158.2" hidden="false" customHeight="false" outlineLevel="0" collapsed="false">
      <c r="A456" s="2" t="s">
        <v>2349</v>
      </c>
      <c r="B456" s="2" t="s">
        <v>17</v>
      </c>
      <c r="C456" s="2" t="s">
        <v>2774</v>
      </c>
      <c r="D456" s="2" t="s">
        <v>390</v>
      </c>
      <c r="E456" s="2" t="s">
        <v>67</v>
      </c>
      <c r="F456" s="2" t="s">
        <v>2775</v>
      </c>
      <c r="G456" s="2" t="s">
        <v>2776</v>
      </c>
      <c r="H456" s="2" t="s">
        <v>2777</v>
      </c>
      <c r="I456" s="2" t="s">
        <v>1036</v>
      </c>
      <c r="J456" s="2" t="s">
        <v>44</v>
      </c>
      <c r="K456" s="2"/>
      <c r="L456" s="2" t="s">
        <v>2486</v>
      </c>
      <c r="M456" s="2" t="s">
        <v>46</v>
      </c>
      <c r="N456" s="2" t="s">
        <v>2645</v>
      </c>
      <c r="O456" s="2" t="s">
        <v>29</v>
      </c>
      <c r="P456" s="2" t="s">
        <v>2778</v>
      </c>
    </row>
    <row r="457" customFormat="false" ht="68.65" hidden="false" customHeight="false" outlineLevel="0" collapsed="false">
      <c r="A457" s="2" t="s">
        <v>2349</v>
      </c>
      <c r="B457" s="2" t="s">
        <v>31</v>
      </c>
      <c r="C457" s="2" t="s">
        <v>2779</v>
      </c>
      <c r="D457" s="2" t="s">
        <v>390</v>
      </c>
      <c r="E457" s="2" t="s">
        <v>67</v>
      </c>
      <c r="F457" s="2" t="s">
        <v>2780</v>
      </c>
      <c r="G457" s="2" t="s">
        <v>2781</v>
      </c>
      <c r="H457" s="2" t="s">
        <v>2782</v>
      </c>
      <c r="I457" s="2" t="s">
        <v>405</v>
      </c>
      <c r="J457" s="2" t="s">
        <v>44</v>
      </c>
      <c r="K457" s="2"/>
      <c r="L457" s="2" t="s">
        <v>2783</v>
      </c>
      <c r="M457" s="2" t="s">
        <v>27</v>
      </c>
      <c r="N457" s="2" t="s">
        <v>2784</v>
      </c>
      <c r="O457" s="2" t="s">
        <v>29</v>
      </c>
      <c r="P457" s="2" t="s">
        <v>2785</v>
      </c>
    </row>
    <row r="458" customFormat="false" ht="57.45" hidden="false" customHeight="false" outlineLevel="0" collapsed="false">
      <c r="A458" s="2" t="s">
        <v>2349</v>
      </c>
      <c r="B458" s="2" t="s">
        <v>288</v>
      </c>
      <c r="C458" s="2" t="s">
        <v>2786</v>
      </c>
      <c r="D458" s="2" t="s">
        <v>390</v>
      </c>
      <c r="E458" s="2" t="s">
        <v>20</v>
      </c>
      <c r="F458" s="2" t="s">
        <v>2787</v>
      </c>
      <c r="G458" s="2" t="s">
        <v>2788</v>
      </c>
      <c r="H458" s="2" t="s">
        <v>459</v>
      </c>
      <c r="I458" s="2" t="s">
        <v>763</v>
      </c>
      <c r="J458" s="2" t="s">
        <v>25</v>
      </c>
      <c r="K458" s="2"/>
      <c r="L458" s="2" t="s">
        <v>2789</v>
      </c>
      <c r="M458" s="2" t="s">
        <v>27</v>
      </c>
      <c r="N458" s="2" t="s">
        <v>2790</v>
      </c>
      <c r="O458" s="2" t="s">
        <v>29</v>
      </c>
      <c r="P458" s="2" t="s">
        <v>2791</v>
      </c>
    </row>
    <row r="459" customFormat="false" ht="57.45" hidden="false" customHeight="false" outlineLevel="0" collapsed="false">
      <c r="A459" s="2" t="s">
        <v>2349</v>
      </c>
      <c r="B459" s="2" t="s">
        <v>31</v>
      </c>
      <c r="C459" s="2" t="s">
        <v>2792</v>
      </c>
      <c r="D459" s="2" t="s">
        <v>390</v>
      </c>
      <c r="E459" s="2" t="s">
        <v>67</v>
      </c>
      <c r="F459" s="2" t="s">
        <v>2793</v>
      </c>
      <c r="G459" s="2" t="s">
        <v>2794</v>
      </c>
      <c r="H459" s="2" t="s">
        <v>2795</v>
      </c>
      <c r="I459" s="2" t="s">
        <v>36</v>
      </c>
      <c r="J459" s="2" t="s">
        <v>44</v>
      </c>
      <c r="K459" s="2"/>
      <c r="L459" s="2" t="s">
        <v>2732</v>
      </c>
      <c r="M459" s="2" t="s">
        <v>160</v>
      </c>
      <c r="N459" s="2" t="s">
        <v>2796</v>
      </c>
      <c r="O459" s="2" t="s">
        <v>29</v>
      </c>
      <c r="P459" s="2" t="s">
        <v>2797</v>
      </c>
    </row>
    <row r="460" customFormat="false" ht="68.65" hidden="false" customHeight="false" outlineLevel="0" collapsed="false">
      <c r="A460" s="2" t="s">
        <v>2349</v>
      </c>
      <c r="B460" s="2" t="s">
        <v>254</v>
      </c>
      <c r="C460" s="2" t="s">
        <v>2798</v>
      </c>
      <c r="D460" s="2" t="s">
        <v>390</v>
      </c>
      <c r="E460" s="2" t="s">
        <v>20</v>
      </c>
      <c r="F460" s="2" t="s">
        <v>2799</v>
      </c>
      <c r="G460" s="2" t="s">
        <v>2800</v>
      </c>
      <c r="H460" s="2" t="s">
        <v>459</v>
      </c>
      <c r="I460" s="2" t="s">
        <v>36</v>
      </c>
      <c r="J460" s="2" t="s">
        <v>25</v>
      </c>
      <c r="K460" s="2"/>
      <c r="L460" s="2" t="s">
        <v>2801</v>
      </c>
      <c r="M460" s="2" t="s">
        <v>46</v>
      </c>
      <c r="N460" s="2" t="s">
        <v>2802</v>
      </c>
      <c r="O460" s="2" t="s">
        <v>29</v>
      </c>
      <c r="P460" s="2" t="s">
        <v>2803</v>
      </c>
    </row>
    <row r="461" customFormat="false" ht="113.4" hidden="false" customHeight="false" outlineLevel="0" collapsed="false">
      <c r="A461" s="2" t="s">
        <v>2349</v>
      </c>
      <c r="B461" s="2" t="s">
        <v>17</v>
      </c>
      <c r="C461" s="2" t="s">
        <v>2804</v>
      </c>
      <c r="D461" s="2" t="s">
        <v>390</v>
      </c>
      <c r="E461" s="2" t="s">
        <v>20</v>
      </c>
      <c r="F461" s="2" t="s">
        <v>2805</v>
      </c>
      <c r="G461" s="2" t="s">
        <v>2806</v>
      </c>
      <c r="H461" s="2" t="s">
        <v>212</v>
      </c>
      <c r="I461" s="2" t="s">
        <v>2807</v>
      </c>
      <c r="J461" s="2" t="s">
        <v>44</v>
      </c>
      <c r="K461" s="2"/>
      <c r="L461" s="2" t="s">
        <v>2808</v>
      </c>
      <c r="M461" s="2" t="s">
        <v>27</v>
      </c>
      <c r="N461" s="2" t="s">
        <v>2809</v>
      </c>
      <c r="O461" s="2" t="s">
        <v>29</v>
      </c>
      <c r="P461" s="2" t="s">
        <v>2810</v>
      </c>
    </row>
    <row r="462" customFormat="false" ht="91" hidden="false" customHeight="false" outlineLevel="0" collapsed="false">
      <c r="A462" s="2" t="s">
        <v>2349</v>
      </c>
      <c r="B462" s="2" t="s">
        <v>17</v>
      </c>
      <c r="C462" s="2" t="s">
        <v>2811</v>
      </c>
      <c r="D462" s="2" t="s">
        <v>390</v>
      </c>
      <c r="E462" s="2" t="s">
        <v>67</v>
      </c>
      <c r="F462" s="2" t="s">
        <v>2812</v>
      </c>
      <c r="G462" s="2" t="s">
        <v>2813</v>
      </c>
      <c r="H462" s="2" t="s">
        <v>2814</v>
      </c>
      <c r="I462" s="2" t="s">
        <v>474</v>
      </c>
      <c r="J462" s="2" t="s">
        <v>44</v>
      </c>
      <c r="K462" s="2"/>
      <c r="L462" s="2" t="s">
        <v>2815</v>
      </c>
      <c r="M462" s="2" t="s">
        <v>27</v>
      </c>
      <c r="N462" s="2" t="s">
        <v>2816</v>
      </c>
      <c r="O462" s="2" t="s">
        <v>29</v>
      </c>
      <c r="P462" s="2" t="s">
        <v>2817</v>
      </c>
    </row>
    <row r="463" customFormat="false" ht="57.45" hidden="false" customHeight="false" outlineLevel="0" collapsed="false">
      <c r="A463" s="2" t="s">
        <v>2349</v>
      </c>
      <c r="B463" s="2" t="s">
        <v>31</v>
      </c>
      <c r="C463" s="2" t="s">
        <v>2818</v>
      </c>
      <c r="D463" s="2" t="s">
        <v>390</v>
      </c>
      <c r="E463" s="2" t="s">
        <v>20</v>
      </c>
      <c r="F463" s="2" t="s">
        <v>2819</v>
      </c>
      <c r="G463" s="2" t="s">
        <v>2820</v>
      </c>
      <c r="H463" s="2" t="s">
        <v>459</v>
      </c>
      <c r="I463" s="2" t="s">
        <v>345</v>
      </c>
      <c r="J463" s="2" t="s">
        <v>25</v>
      </c>
      <c r="K463" s="2"/>
      <c r="L463" s="2" t="s">
        <v>2821</v>
      </c>
      <c r="M463" s="2" t="s">
        <v>27</v>
      </c>
      <c r="N463" s="2" t="s">
        <v>2822</v>
      </c>
      <c r="O463" s="2" t="s">
        <v>29</v>
      </c>
      <c r="P463" s="2" t="s">
        <v>2823</v>
      </c>
    </row>
    <row r="464" customFormat="false" ht="57.45" hidden="false" customHeight="false" outlineLevel="0" collapsed="false">
      <c r="A464" s="2" t="s">
        <v>2349</v>
      </c>
      <c r="B464" s="2" t="s">
        <v>31</v>
      </c>
      <c r="C464" s="2" t="s">
        <v>397</v>
      </c>
      <c r="D464" s="2" t="s">
        <v>390</v>
      </c>
      <c r="E464" s="2" t="s">
        <v>67</v>
      </c>
      <c r="F464" s="2" t="s">
        <v>2824</v>
      </c>
      <c r="G464" s="2" t="s">
        <v>2825</v>
      </c>
      <c r="H464" s="2" t="s">
        <v>2749</v>
      </c>
      <c r="I464" s="2" t="s">
        <v>1056</v>
      </c>
      <c r="J464" s="2" t="s">
        <v>346</v>
      </c>
      <c r="K464" s="2"/>
      <c r="L464" s="2" t="s">
        <v>2679</v>
      </c>
      <c r="M464" s="2" t="s">
        <v>46</v>
      </c>
      <c r="N464" s="2" t="s">
        <v>2826</v>
      </c>
      <c r="O464" s="2" t="s">
        <v>29</v>
      </c>
      <c r="P464" s="2" t="s">
        <v>2827</v>
      </c>
    </row>
    <row r="465" customFormat="false" ht="57.45" hidden="false" customHeight="false" outlineLevel="0" collapsed="false">
      <c r="A465" s="2" t="s">
        <v>2349</v>
      </c>
      <c r="B465" s="2" t="s">
        <v>65</v>
      </c>
      <c r="C465" s="2" t="s">
        <v>2828</v>
      </c>
      <c r="D465" s="2" t="s">
        <v>390</v>
      </c>
      <c r="E465" s="2" t="s">
        <v>67</v>
      </c>
      <c r="F465" s="2" t="s">
        <v>2829</v>
      </c>
      <c r="G465" s="2" t="s">
        <v>2830</v>
      </c>
      <c r="H465" s="2" t="s">
        <v>212</v>
      </c>
      <c r="I465" s="2" t="s">
        <v>226</v>
      </c>
      <c r="J465" s="2" t="s">
        <v>44</v>
      </c>
      <c r="K465" s="2"/>
      <c r="L465" s="2" t="s">
        <v>2831</v>
      </c>
      <c r="M465" s="2" t="s">
        <v>27</v>
      </c>
      <c r="N465" s="2" t="s">
        <v>2832</v>
      </c>
      <c r="O465" s="2" t="s">
        <v>29</v>
      </c>
      <c r="P465" s="2" t="s">
        <v>2833</v>
      </c>
    </row>
    <row r="466" customFormat="false" ht="79.85" hidden="false" customHeight="false" outlineLevel="0" collapsed="false">
      <c r="A466" s="2" t="s">
        <v>2349</v>
      </c>
      <c r="B466" s="2" t="s">
        <v>31</v>
      </c>
      <c r="C466" s="2" t="s">
        <v>2834</v>
      </c>
      <c r="D466" s="2" t="s">
        <v>390</v>
      </c>
      <c r="E466" s="2" t="s">
        <v>67</v>
      </c>
      <c r="F466" s="2" t="s">
        <v>2835</v>
      </c>
      <c r="G466" s="2" t="s">
        <v>2836</v>
      </c>
      <c r="H466" s="2" t="s">
        <v>1091</v>
      </c>
      <c r="I466" s="2" t="s">
        <v>226</v>
      </c>
      <c r="J466" s="2" t="s">
        <v>44</v>
      </c>
      <c r="K466" s="2"/>
      <c r="L466" s="2" t="s">
        <v>2835</v>
      </c>
      <c r="M466" s="2" t="s">
        <v>27</v>
      </c>
      <c r="N466" s="2" t="s">
        <v>2837</v>
      </c>
      <c r="O466" s="2" t="s">
        <v>29</v>
      </c>
      <c r="P466" s="2" t="s">
        <v>2838</v>
      </c>
    </row>
    <row r="467" customFormat="false" ht="79.85" hidden="false" customHeight="false" outlineLevel="0" collapsed="false">
      <c r="A467" s="2" t="s">
        <v>2349</v>
      </c>
      <c r="B467" s="2" t="s">
        <v>17</v>
      </c>
      <c r="C467" s="2" t="s">
        <v>2839</v>
      </c>
      <c r="D467" s="2" t="s">
        <v>390</v>
      </c>
      <c r="E467" s="2" t="s">
        <v>67</v>
      </c>
      <c r="F467" s="2" t="s">
        <v>2840</v>
      </c>
      <c r="G467" s="2" t="s">
        <v>2841</v>
      </c>
      <c r="H467" s="2" t="s">
        <v>2749</v>
      </c>
      <c r="I467" s="2" t="s">
        <v>738</v>
      </c>
      <c r="J467" s="2" t="s">
        <v>346</v>
      </c>
      <c r="K467" s="2"/>
      <c r="L467" s="2" t="s">
        <v>1057</v>
      </c>
      <c r="M467" s="2" t="s">
        <v>1058</v>
      </c>
      <c r="N467" s="2" t="s">
        <v>1059</v>
      </c>
      <c r="O467" s="2" t="s">
        <v>29</v>
      </c>
      <c r="P467" s="2" t="s">
        <v>2842</v>
      </c>
    </row>
    <row r="468" customFormat="false" ht="57.45" hidden="false" customHeight="false" outlineLevel="0" collapsed="false">
      <c r="A468" s="2" t="s">
        <v>2349</v>
      </c>
      <c r="B468" s="2" t="s">
        <v>17</v>
      </c>
      <c r="C468" s="2" t="s">
        <v>2843</v>
      </c>
      <c r="D468" s="2" t="s">
        <v>539</v>
      </c>
      <c r="E468" s="2" t="s">
        <v>67</v>
      </c>
      <c r="F468" s="2" t="s">
        <v>2844</v>
      </c>
      <c r="G468" s="2" t="s">
        <v>2845</v>
      </c>
      <c r="H468" s="2" t="s">
        <v>2749</v>
      </c>
      <c r="I468" s="2" t="s">
        <v>2846</v>
      </c>
      <c r="J468" s="2" t="s">
        <v>118</v>
      </c>
      <c r="K468" s="2" t="s">
        <v>93</v>
      </c>
      <c r="L468" s="2" t="s">
        <v>2847</v>
      </c>
      <c r="M468" s="2" t="s">
        <v>27</v>
      </c>
      <c r="N468" s="2" t="s">
        <v>2848</v>
      </c>
      <c r="O468" s="2" t="s">
        <v>29</v>
      </c>
      <c r="P468" s="2" t="s">
        <v>551</v>
      </c>
    </row>
    <row r="469" customFormat="false" ht="68.65" hidden="false" customHeight="false" outlineLevel="0" collapsed="false">
      <c r="A469" s="2" t="s">
        <v>2349</v>
      </c>
      <c r="B469" s="2" t="s">
        <v>169</v>
      </c>
      <c r="C469" s="2" t="s">
        <v>2849</v>
      </c>
      <c r="D469" s="2" t="s">
        <v>539</v>
      </c>
      <c r="E469" s="2" t="s">
        <v>67</v>
      </c>
      <c r="F469" s="2" t="s">
        <v>2850</v>
      </c>
      <c r="G469" s="2" t="s">
        <v>2851</v>
      </c>
      <c r="H469" s="2" t="s">
        <v>240</v>
      </c>
      <c r="I469" s="2" t="s">
        <v>233</v>
      </c>
      <c r="J469" s="2" t="s">
        <v>25</v>
      </c>
      <c r="K469" s="2" t="s">
        <v>93</v>
      </c>
      <c r="L469" s="2" t="s">
        <v>2850</v>
      </c>
      <c r="M469" s="2" t="s">
        <v>27</v>
      </c>
      <c r="N469" s="2" t="s">
        <v>2852</v>
      </c>
      <c r="O469" s="2" t="s">
        <v>29</v>
      </c>
      <c r="P469" s="2" t="s">
        <v>2853</v>
      </c>
    </row>
    <row r="470" customFormat="false" ht="57.45" hidden="false" customHeight="false" outlineLevel="0" collapsed="false">
      <c r="A470" s="2" t="s">
        <v>2349</v>
      </c>
      <c r="B470" s="2" t="s">
        <v>17</v>
      </c>
      <c r="C470" s="2" t="s">
        <v>2854</v>
      </c>
      <c r="D470" s="2" t="s">
        <v>539</v>
      </c>
      <c r="E470" s="2" t="s">
        <v>67</v>
      </c>
      <c r="F470" s="2" t="s">
        <v>2855</v>
      </c>
      <c r="G470" s="2" t="s">
        <v>2856</v>
      </c>
      <c r="H470" s="2" t="s">
        <v>2857</v>
      </c>
      <c r="I470" s="2" t="s">
        <v>372</v>
      </c>
      <c r="J470" s="2" t="s">
        <v>44</v>
      </c>
      <c r="K470" s="2" t="s">
        <v>93</v>
      </c>
      <c r="L470" s="2" t="s">
        <v>2858</v>
      </c>
      <c r="M470" s="2" t="s">
        <v>46</v>
      </c>
      <c r="N470" s="2" t="s">
        <v>2859</v>
      </c>
      <c r="O470" s="2" t="s">
        <v>29</v>
      </c>
      <c r="P470" s="2" t="s">
        <v>579</v>
      </c>
    </row>
    <row r="471" customFormat="false" ht="57.45" hidden="false" customHeight="false" outlineLevel="0" collapsed="false">
      <c r="A471" s="2" t="s">
        <v>2349</v>
      </c>
      <c r="B471" s="2" t="s">
        <v>17</v>
      </c>
      <c r="C471" s="2" t="s">
        <v>2860</v>
      </c>
      <c r="D471" s="2" t="s">
        <v>539</v>
      </c>
      <c r="E471" s="2" t="s">
        <v>67</v>
      </c>
      <c r="F471" s="2" t="s">
        <v>2861</v>
      </c>
      <c r="G471" s="2" t="s">
        <v>2862</v>
      </c>
      <c r="H471" s="2" t="s">
        <v>240</v>
      </c>
      <c r="I471" s="2" t="s">
        <v>345</v>
      </c>
      <c r="J471" s="2" t="s">
        <v>25</v>
      </c>
      <c r="K471" s="2" t="s">
        <v>93</v>
      </c>
      <c r="L471" s="2" t="s">
        <v>2861</v>
      </c>
      <c r="M471" s="2" t="s">
        <v>27</v>
      </c>
      <c r="N471" s="2" t="s">
        <v>2863</v>
      </c>
      <c r="O471" s="2" t="s">
        <v>29</v>
      </c>
      <c r="P471" s="2" t="s">
        <v>2864</v>
      </c>
    </row>
    <row r="472" customFormat="false" ht="46.25" hidden="false" customHeight="false" outlineLevel="0" collapsed="false">
      <c r="A472" s="2" t="s">
        <v>2349</v>
      </c>
      <c r="B472" s="2" t="s">
        <v>17</v>
      </c>
      <c r="C472" s="2" t="s">
        <v>2865</v>
      </c>
      <c r="D472" s="2" t="s">
        <v>539</v>
      </c>
      <c r="E472" s="2" t="s">
        <v>593</v>
      </c>
      <c r="F472" s="2" t="s">
        <v>2866</v>
      </c>
      <c r="G472" s="2" t="s">
        <v>2867</v>
      </c>
      <c r="H472" s="2" t="s">
        <v>609</v>
      </c>
      <c r="I472" s="2" t="s">
        <v>2868</v>
      </c>
      <c r="J472" s="2" t="s">
        <v>44</v>
      </c>
      <c r="K472" s="2" t="s">
        <v>2869</v>
      </c>
      <c r="L472" s="2" t="s">
        <v>1262</v>
      </c>
      <c r="M472" s="2" t="s">
        <v>46</v>
      </c>
      <c r="N472" s="2" t="s">
        <v>2460</v>
      </c>
      <c r="O472" s="2" t="s">
        <v>29</v>
      </c>
      <c r="P472" s="2" t="s">
        <v>2870</v>
      </c>
    </row>
    <row r="473" customFormat="false" ht="68.65" hidden="false" customHeight="false" outlineLevel="0" collapsed="false">
      <c r="A473" s="2" t="s">
        <v>2349</v>
      </c>
      <c r="B473" s="2" t="s">
        <v>17</v>
      </c>
      <c r="C473" s="2" t="s">
        <v>2871</v>
      </c>
      <c r="D473" s="2" t="s">
        <v>539</v>
      </c>
      <c r="E473" s="2" t="s">
        <v>20</v>
      </c>
      <c r="F473" s="2" t="s">
        <v>2872</v>
      </c>
      <c r="G473" s="2" t="s">
        <v>2873</v>
      </c>
      <c r="H473" s="2" t="s">
        <v>2874</v>
      </c>
      <c r="I473" s="2" t="s">
        <v>474</v>
      </c>
      <c r="J473" s="2" t="s">
        <v>44</v>
      </c>
      <c r="K473" s="2" t="s">
        <v>671</v>
      </c>
      <c r="L473" s="2" t="s">
        <v>2427</v>
      </c>
      <c r="M473" s="2" t="s">
        <v>46</v>
      </c>
      <c r="N473" s="2" t="s">
        <v>2875</v>
      </c>
      <c r="O473" s="2" t="s">
        <v>29</v>
      </c>
      <c r="P473" s="2" t="s">
        <v>2876</v>
      </c>
    </row>
    <row r="474" customFormat="false" ht="57.45" hidden="false" customHeight="false" outlineLevel="0" collapsed="false">
      <c r="A474" s="2" t="s">
        <v>2349</v>
      </c>
      <c r="B474" s="2" t="s">
        <v>169</v>
      </c>
      <c r="C474" s="2" t="s">
        <v>2877</v>
      </c>
      <c r="D474" s="2" t="s">
        <v>539</v>
      </c>
      <c r="E474" s="2" t="s">
        <v>67</v>
      </c>
      <c r="F474" s="2" t="s">
        <v>2878</v>
      </c>
      <c r="G474" s="2" t="s">
        <v>2879</v>
      </c>
      <c r="H474" s="2" t="s">
        <v>212</v>
      </c>
      <c r="I474" s="2" t="s">
        <v>460</v>
      </c>
      <c r="J474" s="2" t="s">
        <v>44</v>
      </c>
      <c r="K474" s="2"/>
      <c r="L474" s="2" t="s">
        <v>2427</v>
      </c>
      <c r="M474" s="2" t="s">
        <v>46</v>
      </c>
      <c r="N474" s="2" t="s">
        <v>2880</v>
      </c>
      <c r="O474" s="2" t="s">
        <v>29</v>
      </c>
      <c r="P474" s="2" t="s">
        <v>2881</v>
      </c>
    </row>
    <row r="475" customFormat="false" ht="68.65" hidden="false" customHeight="false" outlineLevel="0" collapsed="false">
      <c r="A475" s="2" t="s">
        <v>2349</v>
      </c>
      <c r="B475" s="2" t="s">
        <v>17</v>
      </c>
      <c r="C475" s="2" t="s">
        <v>2882</v>
      </c>
      <c r="D475" s="2" t="s">
        <v>539</v>
      </c>
      <c r="E475" s="2" t="s">
        <v>67</v>
      </c>
      <c r="F475" s="2" t="s">
        <v>2883</v>
      </c>
      <c r="G475" s="2" t="s">
        <v>2884</v>
      </c>
      <c r="H475" s="2" t="s">
        <v>2622</v>
      </c>
      <c r="I475" s="2" t="s">
        <v>226</v>
      </c>
      <c r="J475" s="2" t="s">
        <v>44</v>
      </c>
      <c r="K475" s="2"/>
      <c r="L475" s="2" t="s">
        <v>2885</v>
      </c>
      <c r="M475" s="2" t="s">
        <v>46</v>
      </c>
      <c r="N475" s="2" t="s">
        <v>2886</v>
      </c>
      <c r="O475" s="2" t="s">
        <v>29</v>
      </c>
      <c r="P475" s="2" t="s">
        <v>2887</v>
      </c>
    </row>
    <row r="476" customFormat="false" ht="57.45" hidden="false" customHeight="false" outlineLevel="0" collapsed="false">
      <c r="A476" s="2" t="s">
        <v>2349</v>
      </c>
      <c r="B476" s="2" t="s">
        <v>17</v>
      </c>
      <c r="C476" s="2" t="s">
        <v>2888</v>
      </c>
      <c r="D476" s="2" t="s">
        <v>539</v>
      </c>
      <c r="E476" s="2" t="s">
        <v>593</v>
      </c>
      <c r="F476" s="2" t="s">
        <v>2889</v>
      </c>
      <c r="G476" s="2" t="s">
        <v>2890</v>
      </c>
      <c r="H476" s="2" t="s">
        <v>2874</v>
      </c>
      <c r="I476" s="2" t="s">
        <v>2891</v>
      </c>
      <c r="J476" s="2" t="s">
        <v>44</v>
      </c>
      <c r="K476" s="2" t="s">
        <v>2892</v>
      </c>
      <c r="L476" s="2" t="s">
        <v>598</v>
      </c>
      <c r="M476" s="2" t="s">
        <v>46</v>
      </c>
      <c r="N476" s="2" t="s">
        <v>2893</v>
      </c>
      <c r="O476" s="2" t="s">
        <v>29</v>
      </c>
      <c r="P476" s="2" t="s">
        <v>2894</v>
      </c>
    </row>
    <row r="477" customFormat="false" ht="46.25" hidden="false" customHeight="false" outlineLevel="0" collapsed="false">
      <c r="A477" s="2" t="s">
        <v>2349</v>
      </c>
      <c r="B477" s="2" t="s">
        <v>65</v>
      </c>
      <c r="C477" s="2" t="s">
        <v>2895</v>
      </c>
      <c r="D477" s="2" t="s">
        <v>539</v>
      </c>
      <c r="E477" s="2" t="s">
        <v>593</v>
      </c>
      <c r="F477" s="2" t="s">
        <v>2896</v>
      </c>
      <c r="G477" s="2" t="s">
        <v>2897</v>
      </c>
      <c r="H477" s="2" t="s">
        <v>609</v>
      </c>
      <c r="I477" s="2" t="s">
        <v>2898</v>
      </c>
      <c r="J477" s="2" t="s">
        <v>44</v>
      </c>
      <c r="K477" s="2" t="s">
        <v>1261</v>
      </c>
      <c r="L477" s="2" t="s">
        <v>598</v>
      </c>
      <c r="M477" s="2" t="s">
        <v>46</v>
      </c>
      <c r="N477" s="2" t="s">
        <v>2439</v>
      </c>
      <c r="O477" s="2" t="s">
        <v>29</v>
      </c>
      <c r="P477" s="2" t="s">
        <v>2899</v>
      </c>
    </row>
    <row r="478" customFormat="false" ht="57.45" hidden="false" customHeight="false" outlineLevel="0" collapsed="false">
      <c r="A478" s="2" t="s">
        <v>2349</v>
      </c>
      <c r="B478" s="2" t="s">
        <v>65</v>
      </c>
      <c r="C478" s="2" t="s">
        <v>1295</v>
      </c>
      <c r="D478" s="2" t="s">
        <v>539</v>
      </c>
      <c r="E478" s="2" t="s">
        <v>67</v>
      </c>
      <c r="F478" s="2" t="s">
        <v>2900</v>
      </c>
      <c r="G478" s="2" t="s">
        <v>2901</v>
      </c>
      <c r="H478" s="2" t="s">
        <v>2902</v>
      </c>
      <c r="I478" s="2" t="s">
        <v>2903</v>
      </c>
      <c r="J478" s="2" t="s">
        <v>118</v>
      </c>
      <c r="K478" s="2" t="s">
        <v>93</v>
      </c>
      <c r="L478" s="2" t="s">
        <v>2904</v>
      </c>
      <c r="M478" s="2" t="s">
        <v>27</v>
      </c>
      <c r="N478" s="2" t="s">
        <v>2905</v>
      </c>
      <c r="O478" s="2" t="s">
        <v>29</v>
      </c>
      <c r="P478" s="2" t="s">
        <v>1300</v>
      </c>
    </row>
    <row r="479" customFormat="false" ht="68.65" hidden="false" customHeight="false" outlineLevel="0" collapsed="false">
      <c r="A479" s="2" t="s">
        <v>2349</v>
      </c>
      <c r="B479" s="2" t="s">
        <v>169</v>
      </c>
      <c r="C479" s="2" t="s">
        <v>2906</v>
      </c>
      <c r="D479" s="2" t="s">
        <v>539</v>
      </c>
      <c r="E479" s="2" t="s">
        <v>67</v>
      </c>
      <c r="F479" s="2" t="s">
        <v>2907</v>
      </c>
      <c r="G479" s="2" t="s">
        <v>2908</v>
      </c>
      <c r="H479" s="2" t="s">
        <v>2909</v>
      </c>
      <c r="I479" s="2" t="s">
        <v>36</v>
      </c>
      <c r="J479" s="2" t="s">
        <v>44</v>
      </c>
      <c r="K479" s="2" t="s">
        <v>93</v>
      </c>
      <c r="L479" s="2" t="s">
        <v>45</v>
      </c>
      <c r="M479" s="2" t="s">
        <v>46</v>
      </c>
      <c r="N479" s="2" t="s">
        <v>2910</v>
      </c>
      <c r="O479" s="2" t="s">
        <v>29</v>
      </c>
      <c r="P479" s="2" t="s">
        <v>2911</v>
      </c>
    </row>
    <row r="480" customFormat="false" ht="147" hidden="false" customHeight="false" outlineLevel="0" collapsed="false">
      <c r="A480" s="2" t="s">
        <v>2349</v>
      </c>
      <c r="B480" s="2" t="s">
        <v>17</v>
      </c>
      <c r="C480" s="2" t="s">
        <v>2912</v>
      </c>
      <c r="D480" s="2" t="s">
        <v>539</v>
      </c>
      <c r="E480" s="2" t="s">
        <v>593</v>
      </c>
      <c r="F480" s="2" t="s">
        <v>2913</v>
      </c>
      <c r="G480" s="2" t="s">
        <v>2914</v>
      </c>
      <c r="H480" s="2" t="s">
        <v>2874</v>
      </c>
      <c r="I480" s="2" t="s">
        <v>2915</v>
      </c>
      <c r="J480" s="2" t="s">
        <v>44</v>
      </c>
      <c r="K480" s="2" t="s">
        <v>2916</v>
      </c>
      <c r="L480" s="2" t="s">
        <v>598</v>
      </c>
      <c r="M480" s="2" t="s">
        <v>46</v>
      </c>
      <c r="N480" s="2" t="s">
        <v>2917</v>
      </c>
      <c r="O480" s="2" t="s">
        <v>29</v>
      </c>
      <c r="P480" s="2" t="s">
        <v>2918</v>
      </c>
    </row>
    <row r="481" customFormat="false" ht="57.45" hidden="false" customHeight="false" outlineLevel="0" collapsed="false">
      <c r="A481" s="2" t="s">
        <v>2349</v>
      </c>
      <c r="B481" s="2" t="s">
        <v>17</v>
      </c>
      <c r="C481" s="2" t="s">
        <v>2919</v>
      </c>
      <c r="D481" s="2" t="s">
        <v>539</v>
      </c>
      <c r="E481" s="2" t="s">
        <v>593</v>
      </c>
      <c r="F481" s="2" t="s">
        <v>2920</v>
      </c>
      <c r="G481" s="2" t="s">
        <v>2921</v>
      </c>
      <c r="H481" s="2" t="s">
        <v>2874</v>
      </c>
      <c r="I481" s="2" t="s">
        <v>2922</v>
      </c>
      <c r="J481" s="2" t="s">
        <v>44</v>
      </c>
      <c r="K481" s="2" t="s">
        <v>666</v>
      </c>
      <c r="L481" s="2" t="s">
        <v>2923</v>
      </c>
      <c r="M481" s="2" t="s">
        <v>46</v>
      </c>
      <c r="N481" s="2" t="s">
        <v>2924</v>
      </c>
      <c r="O481" s="2" t="s">
        <v>29</v>
      </c>
      <c r="P481" s="2" t="s">
        <v>2925</v>
      </c>
    </row>
    <row r="482" customFormat="false" ht="79.85" hidden="false" customHeight="false" outlineLevel="0" collapsed="false">
      <c r="A482" s="2" t="s">
        <v>2349</v>
      </c>
      <c r="B482" s="2" t="s">
        <v>17</v>
      </c>
      <c r="C482" s="2" t="s">
        <v>2926</v>
      </c>
      <c r="D482" s="2" t="s">
        <v>539</v>
      </c>
      <c r="E482" s="2" t="s">
        <v>67</v>
      </c>
      <c r="F482" s="2" t="s">
        <v>2927</v>
      </c>
      <c r="G482" s="2" t="s">
        <v>2928</v>
      </c>
      <c r="H482" s="2" t="s">
        <v>240</v>
      </c>
      <c r="I482" s="2" t="s">
        <v>520</v>
      </c>
      <c r="J482" s="2" t="s">
        <v>584</v>
      </c>
      <c r="K482" s="2" t="s">
        <v>93</v>
      </c>
      <c r="L482" s="2" t="s">
        <v>2929</v>
      </c>
      <c r="M482" s="2" t="s">
        <v>121</v>
      </c>
      <c r="N482" s="2" t="s">
        <v>2930</v>
      </c>
      <c r="O482" s="2" t="s">
        <v>29</v>
      </c>
      <c r="P482" s="2" t="s">
        <v>2931</v>
      </c>
    </row>
    <row r="483" customFormat="false" ht="57.45" hidden="false" customHeight="false" outlineLevel="0" collapsed="false">
      <c r="A483" s="2" t="s">
        <v>2349</v>
      </c>
      <c r="B483" s="2" t="s">
        <v>17</v>
      </c>
      <c r="C483" s="2" t="s">
        <v>2932</v>
      </c>
      <c r="D483" s="2" t="s">
        <v>539</v>
      </c>
      <c r="E483" s="2" t="s">
        <v>593</v>
      </c>
      <c r="F483" s="2" t="s">
        <v>2933</v>
      </c>
      <c r="G483" s="2" t="s">
        <v>2934</v>
      </c>
      <c r="H483" s="2" t="s">
        <v>609</v>
      </c>
      <c r="I483" s="2" t="s">
        <v>2935</v>
      </c>
      <c r="J483" s="2" t="s">
        <v>25</v>
      </c>
      <c r="K483" s="2" t="s">
        <v>1261</v>
      </c>
      <c r="L483" s="2" t="s">
        <v>2486</v>
      </c>
      <c r="M483" s="2" t="s">
        <v>46</v>
      </c>
      <c r="N483" s="2" t="s">
        <v>2936</v>
      </c>
      <c r="O483" s="2" t="s">
        <v>29</v>
      </c>
      <c r="P483" s="2" t="s">
        <v>2937</v>
      </c>
    </row>
    <row r="484" customFormat="false" ht="68.65" hidden="false" customHeight="false" outlineLevel="0" collapsed="false">
      <c r="A484" s="2" t="s">
        <v>2349</v>
      </c>
      <c r="B484" s="2" t="s">
        <v>17</v>
      </c>
      <c r="C484" s="2" t="s">
        <v>2938</v>
      </c>
      <c r="D484" s="2" t="s">
        <v>539</v>
      </c>
      <c r="E484" s="2" t="s">
        <v>67</v>
      </c>
      <c r="F484" s="2" t="s">
        <v>2939</v>
      </c>
      <c r="G484" s="2" t="s">
        <v>2940</v>
      </c>
      <c r="H484" s="2" t="s">
        <v>2874</v>
      </c>
      <c r="I484" s="2" t="s">
        <v>2609</v>
      </c>
      <c r="J484" s="2" t="s">
        <v>44</v>
      </c>
      <c r="K484" s="2" t="s">
        <v>93</v>
      </c>
      <c r="L484" s="2" t="s">
        <v>1262</v>
      </c>
      <c r="M484" s="2" t="s">
        <v>46</v>
      </c>
      <c r="N484" s="2" t="s">
        <v>2941</v>
      </c>
      <c r="O484" s="2" t="s">
        <v>29</v>
      </c>
      <c r="P484" s="2" t="s">
        <v>2942</v>
      </c>
    </row>
    <row r="485" customFormat="false" ht="68.65" hidden="false" customHeight="false" outlineLevel="0" collapsed="false">
      <c r="A485" s="2" t="s">
        <v>2349</v>
      </c>
      <c r="B485" s="2" t="s">
        <v>17</v>
      </c>
      <c r="C485" s="2" t="s">
        <v>2943</v>
      </c>
      <c r="D485" s="2" t="s">
        <v>539</v>
      </c>
      <c r="E485" s="2" t="s">
        <v>67</v>
      </c>
      <c r="F485" s="2" t="s">
        <v>2944</v>
      </c>
      <c r="G485" s="2" t="s">
        <v>2945</v>
      </c>
      <c r="H485" s="2" t="s">
        <v>2946</v>
      </c>
      <c r="I485" s="2" t="s">
        <v>108</v>
      </c>
      <c r="J485" s="2" t="s">
        <v>44</v>
      </c>
      <c r="K485" s="2"/>
      <c r="L485" s="2" t="s">
        <v>2486</v>
      </c>
      <c r="M485" s="2" t="s">
        <v>46</v>
      </c>
      <c r="N485" s="2" t="s">
        <v>2947</v>
      </c>
      <c r="O485" s="2" t="s">
        <v>29</v>
      </c>
      <c r="P485" s="2" t="s">
        <v>2948</v>
      </c>
    </row>
    <row r="486" customFormat="false" ht="57.45" hidden="false" customHeight="false" outlineLevel="0" collapsed="false">
      <c r="A486" s="2" t="s">
        <v>2349</v>
      </c>
      <c r="B486" s="2" t="s">
        <v>17</v>
      </c>
      <c r="C486" s="2" t="s">
        <v>2949</v>
      </c>
      <c r="D486" s="2" t="s">
        <v>539</v>
      </c>
      <c r="E486" s="2" t="s">
        <v>67</v>
      </c>
      <c r="F486" s="2" t="s">
        <v>2950</v>
      </c>
      <c r="G486" s="2" t="s">
        <v>2951</v>
      </c>
      <c r="H486" s="2" t="s">
        <v>678</v>
      </c>
      <c r="I486" s="2" t="s">
        <v>226</v>
      </c>
      <c r="J486" s="2" t="s">
        <v>118</v>
      </c>
      <c r="K486" s="2" t="s">
        <v>93</v>
      </c>
      <c r="L486" s="2" t="s">
        <v>2952</v>
      </c>
      <c r="M486" s="2" t="s">
        <v>121</v>
      </c>
      <c r="N486" s="2" t="s">
        <v>2953</v>
      </c>
      <c r="O486" s="2" t="s">
        <v>29</v>
      </c>
      <c r="P486" s="2" t="s">
        <v>551</v>
      </c>
    </row>
    <row r="487" customFormat="false" ht="57.45" hidden="false" customHeight="false" outlineLevel="0" collapsed="false">
      <c r="A487" s="2" t="s">
        <v>2349</v>
      </c>
      <c r="B487" s="2" t="s">
        <v>17</v>
      </c>
      <c r="C487" s="2" t="s">
        <v>2954</v>
      </c>
      <c r="D487" s="2" t="s">
        <v>539</v>
      </c>
      <c r="E487" s="2" t="s">
        <v>20</v>
      </c>
      <c r="F487" s="2" t="s">
        <v>2955</v>
      </c>
      <c r="G487" s="2" t="s">
        <v>2956</v>
      </c>
      <c r="H487" s="2" t="s">
        <v>609</v>
      </c>
      <c r="I487" s="2" t="s">
        <v>24</v>
      </c>
      <c r="J487" s="2" t="s">
        <v>25</v>
      </c>
      <c r="K487" s="2" t="s">
        <v>2957</v>
      </c>
      <c r="L487" s="2" t="s">
        <v>2434</v>
      </c>
      <c r="M487" s="2" t="s">
        <v>46</v>
      </c>
      <c r="N487" s="2" t="s">
        <v>2435</v>
      </c>
      <c r="O487" s="2" t="s">
        <v>29</v>
      </c>
      <c r="P487" s="2" t="s">
        <v>2958</v>
      </c>
    </row>
    <row r="488" customFormat="false" ht="68.65" hidden="false" customHeight="false" outlineLevel="0" collapsed="false">
      <c r="A488" s="2" t="s">
        <v>2349</v>
      </c>
      <c r="B488" s="2" t="s">
        <v>17</v>
      </c>
      <c r="C488" s="2" t="s">
        <v>2959</v>
      </c>
      <c r="D488" s="2" t="s">
        <v>539</v>
      </c>
      <c r="E488" s="2" t="s">
        <v>20</v>
      </c>
      <c r="F488" s="2" t="s">
        <v>2960</v>
      </c>
      <c r="G488" s="2" t="s">
        <v>2961</v>
      </c>
      <c r="H488" s="2" t="s">
        <v>2874</v>
      </c>
      <c r="I488" s="2" t="s">
        <v>323</v>
      </c>
      <c r="J488" s="2" t="s">
        <v>44</v>
      </c>
      <c r="K488" s="2" t="s">
        <v>2962</v>
      </c>
      <c r="L488" s="2" t="s">
        <v>598</v>
      </c>
      <c r="M488" s="2" t="s">
        <v>46</v>
      </c>
      <c r="N488" s="2" t="s">
        <v>2963</v>
      </c>
      <c r="O488" s="2" t="s">
        <v>29</v>
      </c>
      <c r="P488" s="2" t="s">
        <v>2964</v>
      </c>
    </row>
    <row r="489" customFormat="false" ht="57.45" hidden="false" customHeight="false" outlineLevel="0" collapsed="false">
      <c r="A489" s="2" t="s">
        <v>2349</v>
      </c>
      <c r="B489" s="2" t="s">
        <v>169</v>
      </c>
      <c r="C489" s="2" t="s">
        <v>2965</v>
      </c>
      <c r="D489" s="2" t="s">
        <v>539</v>
      </c>
      <c r="E489" s="2" t="s">
        <v>67</v>
      </c>
      <c r="F489" s="2" t="s">
        <v>2966</v>
      </c>
      <c r="G489" s="2" t="s">
        <v>2967</v>
      </c>
      <c r="H489" s="2" t="s">
        <v>240</v>
      </c>
      <c r="I489" s="2" t="s">
        <v>460</v>
      </c>
      <c r="J489" s="2" t="s">
        <v>25</v>
      </c>
      <c r="K489" s="2" t="s">
        <v>2968</v>
      </c>
      <c r="L489" s="2" t="s">
        <v>2969</v>
      </c>
      <c r="M489" s="2" t="s">
        <v>46</v>
      </c>
      <c r="N489" s="2" t="s">
        <v>2970</v>
      </c>
      <c r="O489" s="2" t="s">
        <v>29</v>
      </c>
      <c r="P489" s="2" t="s">
        <v>2971</v>
      </c>
    </row>
    <row r="490" customFormat="false" ht="68.65" hidden="false" customHeight="false" outlineLevel="0" collapsed="false">
      <c r="A490" s="2" t="s">
        <v>2349</v>
      </c>
      <c r="B490" s="2" t="s">
        <v>169</v>
      </c>
      <c r="C490" s="2" t="s">
        <v>2972</v>
      </c>
      <c r="D490" s="2" t="s">
        <v>539</v>
      </c>
      <c r="E490" s="2" t="s">
        <v>67</v>
      </c>
      <c r="F490" s="2" t="s">
        <v>2973</v>
      </c>
      <c r="G490" s="2" t="s">
        <v>2974</v>
      </c>
      <c r="H490" s="2" t="s">
        <v>1344</v>
      </c>
      <c r="I490" s="2" t="s">
        <v>2975</v>
      </c>
      <c r="J490" s="2" t="s">
        <v>118</v>
      </c>
      <c r="K490" s="2" t="s">
        <v>93</v>
      </c>
      <c r="L490" s="2" t="s">
        <v>2976</v>
      </c>
      <c r="M490" s="2" t="s">
        <v>27</v>
      </c>
      <c r="N490" s="2" t="s">
        <v>2977</v>
      </c>
      <c r="O490" s="2" t="s">
        <v>29</v>
      </c>
      <c r="P490" s="2" t="s">
        <v>2978</v>
      </c>
    </row>
    <row r="491" customFormat="false" ht="57.45" hidden="false" customHeight="false" outlineLevel="0" collapsed="false">
      <c r="A491" s="2" t="s">
        <v>2349</v>
      </c>
      <c r="B491" s="2" t="s">
        <v>17</v>
      </c>
      <c r="C491" s="2" t="s">
        <v>2979</v>
      </c>
      <c r="D491" s="2" t="s">
        <v>539</v>
      </c>
      <c r="E491" s="2" t="s">
        <v>67</v>
      </c>
      <c r="F491" s="2" t="s">
        <v>2980</v>
      </c>
      <c r="G491" s="2" t="s">
        <v>2981</v>
      </c>
      <c r="H491" s="2" t="s">
        <v>240</v>
      </c>
      <c r="I491" s="2" t="s">
        <v>226</v>
      </c>
      <c r="J491" s="2" t="s">
        <v>584</v>
      </c>
      <c r="K491" s="2" t="s">
        <v>93</v>
      </c>
      <c r="L491" s="2" t="s">
        <v>2982</v>
      </c>
      <c r="M491" s="2" t="s">
        <v>243</v>
      </c>
      <c r="N491" s="2" t="s">
        <v>2983</v>
      </c>
      <c r="O491" s="2" t="s">
        <v>29</v>
      </c>
      <c r="P491" s="2" t="s">
        <v>2984</v>
      </c>
    </row>
    <row r="492" customFormat="false" ht="57.45" hidden="false" customHeight="false" outlineLevel="0" collapsed="false">
      <c r="A492" s="2" t="s">
        <v>2349</v>
      </c>
      <c r="B492" s="2" t="s">
        <v>169</v>
      </c>
      <c r="C492" s="2" t="s">
        <v>2985</v>
      </c>
      <c r="D492" s="2" t="s">
        <v>539</v>
      </c>
      <c r="E492" s="2" t="s">
        <v>593</v>
      </c>
      <c r="F492" s="2" t="s">
        <v>2986</v>
      </c>
      <c r="G492" s="2" t="s">
        <v>2987</v>
      </c>
      <c r="H492" s="2" t="s">
        <v>1344</v>
      </c>
      <c r="I492" s="2" t="s">
        <v>460</v>
      </c>
      <c r="J492" s="2" t="s">
        <v>118</v>
      </c>
      <c r="K492" s="2" t="s">
        <v>1261</v>
      </c>
      <c r="L492" s="2" t="s">
        <v>2988</v>
      </c>
      <c r="M492" s="2" t="s">
        <v>27</v>
      </c>
      <c r="N492" s="2" t="s">
        <v>2989</v>
      </c>
      <c r="O492" s="2" t="s">
        <v>29</v>
      </c>
      <c r="P492" s="2" t="s">
        <v>2990</v>
      </c>
    </row>
    <row r="493" customFormat="false" ht="68.65" hidden="false" customHeight="false" outlineLevel="0" collapsed="false">
      <c r="A493" s="2" t="s">
        <v>2349</v>
      </c>
      <c r="B493" s="2" t="s">
        <v>17</v>
      </c>
      <c r="C493" s="2" t="s">
        <v>2991</v>
      </c>
      <c r="D493" s="2" t="s">
        <v>539</v>
      </c>
      <c r="E493" s="2" t="s">
        <v>67</v>
      </c>
      <c r="F493" s="2" t="s">
        <v>2992</v>
      </c>
      <c r="G493" s="2" t="s">
        <v>2993</v>
      </c>
      <c r="H493" s="2" t="s">
        <v>2994</v>
      </c>
      <c r="I493" s="2" t="s">
        <v>345</v>
      </c>
      <c r="J493" s="2" t="s">
        <v>44</v>
      </c>
      <c r="K493" s="2"/>
      <c r="L493" s="2" t="s">
        <v>2995</v>
      </c>
      <c r="M493" s="2" t="s">
        <v>27</v>
      </c>
      <c r="N493" s="2" t="s">
        <v>2996</v>
      </c>
      <c r="O493" s="2" t="s">
        <v>29</v>
      </c>
      <c r="P493" s="2" t="s">
        <v>2997</v>
      </c>
    </row>
    <row r="494" customFormat="false" ht="68.65" hidden="false" customHeight="false" outlineLevel="0" collapsed="false">
      <c r="A494" s="2" t="s">
        <v>2349</v>
      </c>
      <c r="B494" s="2" t="s">
        <v>17</v>
      </c>
      <c r="C494" s="2" t="s">
        <v>2998</v>
      </c>
      <c r="D494" s="2" t="s">
        <v>539</v>
      </c>
      <c r="E494" s="2" t="s">
        <v>67</v>
      </c>
      <c r="F494" s="2" t="s">
        <v>2999</v>
      </c>
      <c r="G494" s="2" t="s">
        <v>3000</v>
      </c>
      <c r="H494" s="2" t="s">
        <v>2874</v>
      </c>
      <c r="I494" s="2" t="s">
        <v>53</v>
      </c>
      <c r="J494" s="2" t="s">
        <v>44</v>
      </c>
      <c r="K494" s="2" t="s">
        <v>93</v>
      </c>
      <c r="L494" s="2" t="s">
        <v>110</v>
      </c>
      <c r="M494" s="2" t="s">
        <v>46</v>
      </c>
      <c r="N494" s="2" t="s">
        <v>3001</v>
      </c>
      <c r="O494" s="2" t="s">
        <v>29</v>
      </c>
      <c r="P494" s="2" t="s">
        <v>3002</v>
      </c>
    </row>
    <row r="495" customFormat="false" ht="57.45" hidden="false" customHeight="false" outlineLevel="0" collapsed="false">
      <c r="A495" s="2" t="s">
        <v>2349</v>
      </c>
      <c r="B495" s="2" t="s">
        <v>17</v>
      </c>
      <c r="C495" s="2" t="s">
        <v>3003</v>
      </c>
      <c r="D495" s="2" t="s">
        <v>539</v>
      </c>
      <c r="E495" s="2" t="s">
        <v>593</v>
      </c>
      <c r="F495" s="2" t="s">
        <v>3004</v>
      </c>
      <c r="G495" s="2" t="s">
        <v>3005</v>
      </c>
      <c r="H495" s="2" t="s">
        <v>609</v>
      </c>
      <c r="I495" s="2" t="s">
        <v>108</v>
      </c>
      <c r="J495" s="2" t="s">
        <v>44</v>
      </c>
      <c r="K495" s="2" t="s">
        <v>1261</v>
      </c>
      <c r="L495" s="2" t="s">
        <v>110</v>
      </c>
      <c r="M495" s="2" t="s">
        <v>46</v>
      </c>
      <c r="N495" s="2" t="s">
        <v>3006</v>
      </c>
      <c r="O495" s="2" t="s">
        <v>29</v>
      </c>
      <c r="P495" s="2" t="s">
        <v>3007</v>
      </c>
    </row>
    <row r="496" customFormat="false" ht="158.2" hidden="false" customHeight="false" outlineLevel="0" collapsed="false">
      <c r="A496" s="2" t="s">
        <v>2349</v>
      </c>
      <c r="B496" s="2" t="s">
        <v>17</v>
      </c>
      <c r="C496" s="2" t="s">
        <v>3008</v>
      </c>
      <c r="D496" s="2" t="s">
        <v>539</v>
      </c>
      <c r="E496" s="2" t="s">
        <v>67</v>
      </c>
      <c r="F496" s="2" t="s">
        <v>3009</v>
      </c>
      <c r="G496" s="2" t="s">
        <v>3010</v>
      </c>
      <c r="H496" s="2" t="s">
        <v>240</v>
      </c>
      <c r="I496" s="2" t="s">
        <v>36</v>
      </c>
      <c r="J496" s="2" t="s">
        <v>44</v>
      </c>
      <c r="K496" s="2" t="s">
        <v>3011</v>
      </c>
      <c r="L496" s="2" t="s">
        <v>3012</v>
      </c>
      <c r="M496" s="2" t="s">
        <v>121</v>
      </c>
      <c r="N496" s="2" t="s">
        <v>3013</v>
      </c>
      <c r="O496" s="2" t="s">
        <v>29</v>
      </c>
      <c r="P496" s="2" t="s">
        <v>3014</v>
      </c>
    </row>
    <row r="497" customFormat="false" ht="158.2" hidden="false" customHeight="false" outlineLevel="0" collapsed="false">
      <c r="A497" s="2" t="s">
        <v>2349</v>
      </c>
      <c r="B497" s="2" t="s">
        <v>169</v>
      </c>
      <c r="C497" s="2" t="s">
        <v>3015</v>
      </c>
      <c r="D497" s="2" t="s">
        <v>539</v>
      </c>
      <c r="E497" s="2" t="s">
        <v>20</v>
      </c>
      <c r="F497" s="2" t="s">
        <v>3016</v>
      </c>
      <c r="G497" s="2" t="s">
        <v>3017</v>
      </c>
      <c r="H497" s="2" t="s">
        <v>2874</v>
      </c>
      <c r="I497" s="2" t="s">
        <v>2499</v>
      </c>
      <c r="J497" s="2" t="s">
        <v>44</v>
      </c>
      <c r="K497" s="2" t="s">
        <v>119</v>
      </c>
      <c r="L497" s="2" t="s">
        <v>740</v>
      </c>
      <c r="M497" s="2" t="s">
        <v>46</v>
      </c>
      <c r="N497" s="2" t="s">
        <v>3018</v>
      </c>
      <c r="O497" s="2" t="s">
        <v>29</v>
      </c>
      <c r="P497" s="2" t="s">
        <v>3019</v>
      </c>
    </row>
    <row r="498" customFormat="false" ht="46.25" hidden="false" customHeight="false" outlineLevel="0" collapsed="false">
      <c r="A498" s="2" t="s">
        <v>3020</v>
      </c>
      <c r="B498" s="2" t="s">
        <v>17</v>
      </c>
      <c r="C498" s="2" t="s">
        <v>836</v>
      </c>
      <c r="D498" s="2" t="s">
        <v>50</v>
      </c>
      <c r="E498" s="2"/>
      <c r="F498" s="2" t="s">
        <v>3021</v>
      </c>
      <c r="G498" s="2" t="s">
        <v>3022</v>
      </c>
      <c r="H498" s="2" t="s">
        <v>212</v>
      </c>
      <c r="I498" s="2" t="s">
        <v>226</v>
      </c>
      <c r="J498" s="2" t="s">
        <v>1585</v>
      </c>
      <c r="K498" s="2"/>
      <c r="L498" s="2" t="s">
        <v>3023</v>
      </c>
      <c r="M498" s="2" t="s">
        <v>46</v>
      </c>
      <c r="N498" s="2" t="s">
        <v>3024</v>
      </c>
      <c r="O498" s="2" t="s">
        <v>29</v>
      </c>
      <c r="P498" s="2" t="s">
        <v>1598</v>
      </c>
    </row>
    <row r="499" customFormat="false" ht="35.05" hidden="false" customHeight="false" outlineLevel="0" collapsed="false">
      <c r="A499" s="3" t="s">
        <v>3020</v>
      </c>
      <c r="B499" s="3" t="s">
        <v>17</v>
      </c>
      <c r="C499" s="3" t="s">
        <v>3025</v>
      </c>
      <c r="D499" s="3" t="s">
        <v>89</v>
      </c>
      <c r="E499" s="3"/>
      <c r="F499" s="3" t="s">
        <v>3026</v>
      </c>
      <c r="G499" s="3" t="s">
        <v>3027</v>
      </c>
      <c r="H499" s="3" t="s">
        <v>99</v>
      </c>
      <c r="I499" s="3" t="s">
        <v>226</v>
      </c>
      <c r="J499" s="3" t="s">
        <v>1585</v>
      </c>
      <c r="K499" s="3"/>
      <c r="L499" s="3" t="s">
        <v>3028</v>
      </c>
      <c r="M499" s="3" t="s">
        <v>46</v>
      </c>
      <c r="N499" s="3" t="s">
        <v>3029</v>
      </c>
      <c r="O499" s="3" t="s">
        <v>183</v>
      </c>
      <c r="P499" s="3" t="s">
        <v>1588</v>
      </c>
    </row>
    <row r="500" customFormat="false" ht="35.05" hidden="false" customHeight="false" outlineLevel="0" collapsed="false">
      <c r="A500" s="3" t="s">
        <v>3020</v>
      </c>
      <c r="B500" s="3" t="s">
        <v>17</v>
      </c>
      <c r="C500" s="3" t="s">
        <v>88</v>
      </c>
      <c r="D500" s="3" t="s">
        <v>89</v>
      </c>
      <c r="E500" s="3"/>
      <c r="F500" s="3" t="s">
        <v>3030</v>
      </c>
      <c r="G500" s="3" t="s">
        <v>3031</v>
      </c>
      <c r="H500" s="3" t="s">
        <v>99</v>
      </c>
      <c r="I500" s="3" t="s">
        <v>226</v>
      </c>
      <c r="J500" s="3" t="s">
        <v>1585</v>
      </c>
      <c r="K500" s="3"/>
      <c r="L500" s="3" t="s">
        <v>3028</v>
      </c>
      <c r="M500" s="3" t="s">
        <v>46</v>
      </c>
      <c r="N500" s="3" t="s">
        <v>3029</v>
      </c>
      <c r="O500" s="3" t="s">
        <v>183</v>
      </c>
      <c r="P500" s="3" t="s">
        <v>1588</v>
      </c>
    </row>
    <row r="501" customFormat="false" ht="35.05" hidden="false" customHeight="false" outlineLevel="0" collapsed="false">
      <c r="A501" s="3" t="s">
        <v>3020</v>
      </c>
      <c r="B501" s="3" t="s">
        <v>17</v>
      </c>
      <c r="C501" s="3" t="s">
        <v>88</v>
      </c>
      <c r="D501" s="3" t="s">
        <v>89</v>
      </c>
      <c r="E501" s="3"/>
      <c r="F501" s="3" t="s">
        <v>3032</v>
      </c>
      <c r="G501" s="3" t="s">
        <v>3033</v>
      </c>
      <c r="H501" s="3" t="s">
        <v>99</v>
      </c>
      <c r="I501" s="3" t="s">
        <v>226</v>
      </c>
      <c r="J501" s="3" t="s">
        <v>1585</v>
      </c>
      <c r="K501" s="3"/>
      <c r="L501" s="3" t="s">
        <v>3028</v>
      </c>
      <c r="M501" s="3" t="s">
        <v>46</v>
      </c>
      <c r="N501" s="3" t="s">
        <v>3029</v>
      </c>
      <c r="O501" s="3" t="s">
        <v>183</v>
      </c>
      <c r="P501" s="3" t="s">
        <v>1588</v>
      </c>
    </row>
    <row r="502" customFormat="false" ht="57.45" hidden="false" customHeight="false" outlineLevel="0" collapsed="false">
      <c r="A502" s="3" t="s">
        <v>3020</v>
      </c>
      <c r="B502" s="3" t="s">
        <v>17</v>
      </c>
      <c r="C502" s="3" t="s">
        <v>1783</v>
      </c>
      <c r="D502" s="3" t="s">
        <v>247</v>
      </c>
      <c r="E502" s="3"/>
      <c r="F502" s="3" t="s">
        <v>3034</v>
      </c>
      <c r="G502" s="3" t="s">
        <v>3035</v>
      </c>
      <c r="H502" s="3" t="s">
        <v>1602</v>
      </c>
      <c r="I502" s="3" t="s">
        <v>24</v>
      </c>
      <c r="J502" s="3" t="s">
        <v>1585</v>
      </c>
      <c r="K502" s="3"/>
      <c r="L502" s="3" t="s">
        <v>3036</v>
      </c>
      <c r="M502" s="3" t="s">
        <v>243</v>
      </c>
      <c r="N502" s="3" t="s">
        <v>3037</v>
      </c>
      <c r="O502" s="3" t="s">
        <v>183</v>
      </c>
      <c r="P502" s="3" t="s">
        <v>3038</v>
      </c>
    </row>
    <row r="503" customFormat="false" ht="46.25" hidden="false" customHeight="false" outlineLevel="0" collapsed="false">
      <c r="A503" s="2" t="s">
        <v>3020</v>
      </c>
      <c r="B503" s="2" t="s">
        <v>17</v>
      </c>
      <c r="C503" s="2" t="s">
        <v>1647</v>
      </c>
      <c r="D503" s="2" t="s">
        <v>247</v>
      </c>
      <c r="E503" s="2"/>
      <c r="F503" s="2" t="s">
        <v>3039</v>
      </c>
      <c r="G503" s="2" t="s">
        <v>3040</v>
      </c>
      <c r="H503" s="2" t="s">
        <v>1621</v>
      </c>
      <c r="I503" s="2" t="s">
        <v>24</v>
      </c>
      <c r="J503" s="2" t="s">
        <v>1585</v>
      </c>
      <c r="K503" s="2" t="s">
        <v>3041</v>
      </c>
      <c r="L503" s="2" t="s">
        <v>3042</v>
      </c>
      <c r="M503" s="2" t="s">
        <v>27</v>
      </c>
      <c r="N503" s="2" t="s">
        <v>3043</v>
      </c>
      <c r="O503" s="2" t="s">
        <v>29</v>
      </c>
      <c r="P503" s="2" t="s">
        <v>3044</v>
      </c>
    </row>
    <row r="504" customFormat="false" ht="57.45" hidden="false" customHeight="false" outlineLevel="0" collapsed="false">
      <c r="A504" s="2" t="s">
        <v>3020</v>
      </c>
      <c r="B504" s="2" t="s">
        <v>17</v>
      </c>
      <c r="C504" s="2" t="s">
        <v>3045</v>
      </c>
      <c r="D504" s="2" t="s">
        <v>320</v>
      </c>
      <c r="E504" s="2"/>
      <c r="F504" s="2" t="s">
        <v>3046</v>
      </c>
      <c r="G504" s="2" t="s">
        <v>3047</v>
      </c>
      <c r="H504" s="2" t="s">
        <v>364</v>
      </c>
      <c r="I504" s="2" t="s">
        <v>345</v>
      </c>
      <c r="J504" s="2" t="s">
        <v>1585</v>
      </c>
      <c r="K504" s="2"/>
      <c r="L504" s="2" t="s">
        <v>3048</v>
      </c>
      <c r="M504" s="2" t="s">
        <v>160</v>
      </c>
      <c r="N504" s="2" t="s">
        <v>3049</v>
      </c>
      <c r="O504" s="2" t="s">
        <v>29</v>
      </c>
      <c r="P504" s="2" t="s">
        <v>1629</v>
      </c>
    </row>
    <row r="505" customFormat="false" ht="46.25" hidden="false" customHeight="false" outlineLevel="0" collapsed="false">
      <c r="A505" s="2" t="s">
        <v>3020</v>
      </c>
      <c r="B505" s="2" t="s">
        <v>17</v>
      </c>
      <c r="C505" s="2" t="s">
        <v>3050</v>
      </c>
      <c r="D505" s="2" t="s">
        <v>320</v>
      </c>
      <c r="E505" s="2"/>
      <c r="F505" s="2" t="s">
        <v>3051</v>
      </c>
      <c r="G505" s="2" t="s">
        <v>3052</v>
      </c>
      <c r="H505" s="2" t="s">
        <v>364</v>
      </c>
      <c r="I505" s="2" t="s">
        <v>534</v>
      </c>
      <c r="J505" s="2" t="s">
        <v>1585</v>
      </c>
      <c r="K505" s="2"/>
      <c r="L505" s="2" t="s">
        <v>1622</v>
      </c>
      <c r="M505" s="2" t="s">
        <v>1623</v>
      </c>
      <c r="N505" s="2" t="s">
        <v>3053</v>
      </c>
      <c r="O505" s="2" t="s">
        <v>29</v>
      </c>
      <c r="P505" s="2" t="s">
        <v>1629</v>
      </c>
    </row>
    <row r="506" customFormat="false" ht="46.25" hidden="false" customHeight="false" outlineLevel="0" collapsed="false">
      <c r="A506" s="2" t="s">
        <v>3020</v>
      </c>
      <c r="B506" s="2" t="s">
        <v>17</v>
      </c>
      <c r="C506" s="2" t="s">
        <v>349</v>
      </c>
      <c r="D506" s="2" t="s">
        <v>320</v>
      </c>
      <c r="E506" s="2"/>
      <c r="F506" s="2" t="s">
        <v>3054</v>
      </c>
      <c r="G506" s="2" t="s">
        <v>3055</v>
      </c>
      <c r="H506" s="2" t="s">
        <v>983</v>
      </c>
      <c r="I506" s="2" t="s">
        <v>3056</v>
      </c>
      <c r="J506" s="2" t="s">
        <v>1585</v>
      </c>
      <c r="K506" s="2"/>
      <c r="L506" s="2" t="s">
        <v>3057</v>
      </c>
      <c r="M506" s="2" t="s">
        <v>160</v>
      </c>
      <c r="N506" s="2" t="s">
        <v>3058</v>
      </c>
      <c r="O506" s="2" t="s">
        <v>29</v>
      </c>
      <c r="P506" s="2" t="s">
        <v>1629</v>
      </c>
    </row>
    <row r="507" customFormat="false" ht="46.25" hidden="false" customHeight="false" outlineLevel="0" collapsed="false">
      <c r="A507" s="3" t="s">
        <v>3020</v>
      </c>
      <c r="B507" s="3" t="s">
        <v>17</v>
      </c>
      <c r="C507" s="3" t="s">
        <v>3059</v>
      </c>
      <c r="D507" s="3" t="s">
        <v>320</v>
      </c>
      <c r="E507" s="3"/>
      <c r="F507" s="3" t="s">
        <v>3060</v>
      </c>
      <c r="G507" s="3" t="s">
        <v>3061</v>
      </c>
      <c r="H507" s="3" t="s">
        <v>3062</v>
      </c>
      <c r="I507" s="3" t="s">
        <v>36</v>
      </c>
      <c r="J507" s="3" t="s">
        <v>1585</v>
      </c>
      <c r="K507" s="3"/>
      <c r="L507" s="3" t="s">
        <v>1798</v>
      </c>
      <c r="M507" s="3" t="s">
        <v>121</v>
      </c>
      <c r="N507" s="3" t="s">
        <v>3063</v>
      </c>
      <c r="O507" s="3" t="s">
        <v>183</v>
      </c>
      <c r="P507" s="3" t="s">
        <v>3064</v>
      </c>
    </row>
    <row r="508" customFormat="false" ht="57.45" hidden="false" customHeight="false" outlineLevel="0" collapsed="false">
      <c r="A508" s="2" t="s">
        <v>3020</v>
      </c>
      <c r="B508" s="2" t="s">
        <v>17</v>
      </c>
      <c r="C508" s="2" t="s">
        <v>349</v>
      </c>
      <c r="D508" s="2" t="s">
        <v>320</v>
      </c>
      <c r="E508" s="2"/>
      <c r="F508" s="2" t="s">
        <v>3065</v>
      </c>
      <c r="G508" s="2" t="s">
        <v>3066</v>
      </c>
      <c r="H508" s="2" t="s">
        <v>983</v>
      </c>
      <c r="I508" s="2" t="s">
        <v>359</v>
      </c>
      <c r="J508" s="2" t="s">
        <v>1585</v>
      </c>
      <c r="K508" s="2"/>
      <c r="L508" s="2" t="s">
        <v>1798</v>
      </c>
      <c r="M508" s="2" t="s">
        <v>121</v>
      </c>
      <c r="N508" s="2" t="s">
        <v>3067</v>
      </c>
      <c r="O508" s="2" t="s">
        <v>29</v>
      </c>
      <c r="P508" s="2" t="s">
        <v>3068</v>
      </c>
    </row>
    <row r="509" customFormat="false" ht="35.05" hidden="false" customHeight="false" outlineLevel="0" collapsed="false">
      <c r="A509" s="3" t="s">
        <v>3020</v>
      </c>
      <c r="B509" s="3" t="s">
        <v>17</v>
      </c>
      <c r="C509" s="3" t="s">
        <v>3069</v>
      </c>
      <c r="D509" s="3" t="s">
        <v>320</v>
      </c>
      <c r="E509" s="3"/>
      <c r="F509" s="3" t="s">
        <v>3070</v>
      </c>
      <c r="G509" s="3" t="s">
        <v>3071</v>
      </c>
      <c r="H509" s="3" t="s">
        <v>983</v>
      </c>
      <c r="I509" s="3" t="s">
        <v>738</v>
      </c>
      <c r="J509" s="3" t="s">
        <v>1585</v>
      </c>
      <c r="K509" s="3"/>
      <c r="L509" s="3" t="s">
        <v>3072</v>
      </c>
      <c r="M509" s="3" t="s">
        <v>243</v>
      </c>
      <c r="N509" s="3" t="s">
        <v>3073</v>
      </c>
      <c r="O509" s="3" t="s">
        <v>183</v>
      </c>
      <c r="P509" s="3" t="s">
        <v>1629</v>
      </c>
    </row>
    <row r="510" customFormat="false" ht="57.45" hidden="false" customHeight="false" outlineLevel="0" collapsed="false">
      <c r="A510" s="2" t="s">
        <v>3020</v>
      </c>
      <c r="B510" s="2" t="s">
        <v>17</v>
      </c>
      <c r="C510" s="2" t="s">
        <v>3074</v>
      </c>
      <c r="D510" s="2" t="s">
        <v>320</v>
      </c>
      <c r="E510" s="2"/>
      <c r="F510" s="2" t="s">
        <v>3075</v>
      </c>
      <c r="G510" s="2" t="s">
        <v>3076</v>
      </c>
      <c r="H510" s="2" t="s">
        <v>1621</v>
      </c>
      <c r="I510" s="2" t="s">
        <v>345</v>
      </c>
      <c r="J510" s="2" t="s">
        <v>1585</v>
      </c>
      <c r="K510" s="2"/>
      <c r="L510" s="2" t="s">
        <v>1622</v>
      </c>
      <c r="M510" s="2" t="s">
        <v>1623</v>
      </c>
      <c r="N510" s="2" t="s">
        <v>3077</v>
      </c>
      <c r="O510" s="2" t="s">
        <v>29</v>
      </c>
      <c r="P510" s="2" t="s">
        <v>1629</v>
      </c>
    </row>
    <row r="511" customFormat="false" ht="35.05" hidden="false" customHeight="false" outlineLevel="0" collapsed="false">
      <c r="A511" s="2" t="s">
        <v>3020</v>
      </c>
      <c r="B511" s="2" t="s">
        <v>17</v>
      </c>
      <c r="C511" s="2" t="s">
        <v>2691</v>
      </c>
      <c r="D511" s="2" t="s">
        <v>320</v>
      </c>
      <c r="E511" s="2"/>
      <c r="F511" s="2" t="s">
        <v>3078</v>
      </c>
      <c r="G511" s="2" t="s">
        <v>3079</v>
      </c>
      <c r="H511" s="2" t="s">
        <v>2098</v>
      </c>
      <c r="I511" s="2" t="s">
        <v>345</v>
      </c>
      <c r="J511" s="2" t="s">
        <v>1585</v>
      </c>
      <c r="K511" s="2"/>
      <c r="L511" s="2" t="s">
        <v>3072</v>
      </c>
      <c r="M511" s="2" t="s">
        <v>243</v>
      </c>
      <c r="N511" s="2" t="s">
        <v>3073</v>
      </c>
      <c r="O511" s="2" t="s">
        <v>29</v>
      </c>
      <c r="P511" s="2" t="s">
        <v>1629</v>
      </c>
    </row>
    <row r="512" customFormat="false" ht="68.65" hidden="false" customHeight="false" outlineLevel="0" collapsed="false">
      <c r="A512" s="2" t="s">
        <v>3020</v>
      </c>
      <c r="B512" s="2" t="s">
        <v>31</v>
      </c>
      <c r="C512" s="2" t="s">
        <v>1845</v>
      </c>
      <c r="D512" s="2" t="s">
        <v>390</v>
      </c>
      <c r="E512" s="2"/>
      <c r="F512" s="2" t="s">
        <v>3080</v>
      </c>
      <c r="G512" s="2" t="s">
        <v>3081</v>
      </c>
      <c r="H512" s="2" t="s">
        <v>1621</v>
      </c>
      <c r="I512" s="2" t="s">
        <v>984</v>
      </c>
      <c r="J512" s="2" t="s">
        <v>1585</v>
      </c>
      <c r="K512" s="2"/>
      <c r="L512" s="2" t="s">
        <v>3042</v>
      </c>
      <c r="M512" s="2" t="s">
        <v>27</v>
      </c>
      <c r="N512" s="2" t="s">
        <v>3082</v>
      </c>
      <c r="O512" s="2" t="s">
        <v>29</v>
      </c>
      <c r="P512" s="2" t="s">
        <v>1667</v>
      </c>
    </row>
    <row r="513" customFormat="false" ht="46.25" hidden="false" customHeight="false" outlineLevel="0" collapsed="false">
      <c r="A513" s="2" t="s">
        <v>3020</v>
      </c>
      <c r="B513" s="2" t="s">
        <v>31</v>
      </c>
      <c r="C513" s="2" t="s">
        <v>1832</v>
      </c>
      <c r="D513" s="2" t="s">
        <v>390</v>
      </c>
      <c r="E513" s="2"/>
      <c r="F513" s="2" t="s">
        <v>3083</v>
      </c>
      <c r="G513" s="2" t="s">
        <v>3084</v>
      </c>
      <c r="H513" s="2" t="s">
        <v>212</v>
      </c>
      <c r="I513" s="2" t="s">
        <v>226</v>
      </c>
      <c r="J513" s="2" t="s">
        <v>1585</v>
      </c>
      <c r="K513" s="2"/>
      <c r="L513" s="2" t="s">
        <v>3042</v>
      </c>
      <c r="M513" s="2" t="s">
        <v>27</v>
      </c>
      <c r="N513" s="2" t="s">
        <v>3082</v>
      </c>
      <c r="O513" s="2" t="s">
        <v>29</v>
      </c>
      <c r="P513" s="2" t="s">
        <v>1667</v>
      </c>
    </row>
    <row r="514" customFormat="false" ht="46.25" hidden="false" customHeight="false" outlineLevel="0" collapsed="false">
      <c r="A514" s="3" t="s">
        <v>3020</v>
      </c>
      <c r="B514" s="3" t="s">
        <v>31</v>
      </c>
      <c r="C514" s="3" t="s">
        <v>3085</v>
      </c>
      <c r="D514" s="3" t="s">
        <v>390</v>
      </c>
      <c r="E514" s="3"/>
      <c r="F514" s="3" t="s">
        <v>3086</v>
      </c>
      <c r="G514" s="3" t="s">
        <v>3087</v>
      </c>
      <c r="H514" s="3" t="s">
        <v>1848</v>
      </c>
      <c r="I514" s="3" t="s">
        <v>738</v>
      </c>
      <c r="J514" s="3" t="s">
        <v>1585</v>
      </c>
      <c r="K514" s="3"/>
      <c r="L514" s="3" t="s">
        <v>3088</v>
      </c>
      <c r="M514" s="3" t="s">
        <v>243</v>
      </c>
      <c r="N514" s="3" t="s">
        <v>3089</v>
      </c>
      <c r="O514" s="3" t="s">
        <v>183</v>
      </c>
      <c r="P514" s="3" t="s">
        <v>1667</v>
      </c>
    </row>
    <row r="515" customFormat="false" ht="35.05" hidden="false" customHeight="false" outlineLevel="0" collapsed="false">
      <c r="A515" s="2" t="s">
        <v>3020</v>
      </c>
      <c r="B515" s="2" t="s">
        <v>31</v>
      </c>
      <c r="C515" s="2" t="s">
        <v>3090</v>
      </c>
      <c r="D515" s="2" t="s">
        <v>390</v>
      </c>
      <c r="E515" s="2"/>
      <c r="F515" s="2" t="s">
        <v>3091</v>
      </c>
      <c r="G515" s="2" t="s">
        <v>3092</v>
      </c>
      <c r="H515" s="2" t="s">
        <v>1602</v>
      </c>
      <c r="I515" s="2" t="s">
        <v>226</v>
      </c>
      <c r="J515" s="2" t="s">
        <v>1585</v>
      </c>
      <c r="K515" s="2"/>
      <c r="L515" s="2" t="s">
        <v>3093</v>
      </c>
      <c r="M515" s="2" t="s">
        <v>27</v>
      </c>
      <c r="N515" s="2" t="s">
        <v>3094</v>
      </c>
      <c r="O515" s="2" t="s">
        <v>29</v>
      </c>
      <c r="P515" s="2" t="s">
        <v>1667</v>
      </c>
    </row>
    <row r="516" customFormat="false" ht="46.25" hidden="false" customHeight="false" outlineLevel="0" collapsed="false">
      <c r="A516" s="3" t="s">
        <v>3020</v>
      </c>
      <c r="B516" s="3" t="s">
        <v>17</v>
      </c>
      <c r="C516" s="3" t="s">
        <v>3095</v>
      </c>
      <c r="D516" s="3" t="s">
        <v>539</v>
      </c>
      <c r="E516" s="3"/>
      <c r="F516" s="3" t="s">
        <v>3096</v>
      </c>
      <c r="G516" s="3" t="s">
        <v>3097</v>
      </c>
      <c r="H516" s="3" t="s">
        <v>240</v>
      </c>
      <c r="I516" s="3" t="s">
        <v>542</v>
      </c>
      <c r="J516" s="3" t="s">
        <v>1585</v>
      </c>
      <c r="K516" s="3" t="s">
        <v>3098</v>
      </c>
      <c r="L516" s="3" t="s">
        <v>3028</v>
      </c>
      <c r="M516" s="3" t="s">
        <v>46</v>
      </c>
      <c r="N516" s="3" t="s">
        <v>3029</v>
      </c>
      <c r="O516" s="3" t="s">
        <v>183</v>
      </c>
      <c r="P516" s="3" t="s">
        <v>1694</v>
      </c>
    </row>
    <row r="517" customFormat="false" ht="35.05" hidden="false" customHeight="false" outlineLevel="0" collapsed="false">
      <c r="A517" s="3" t="s">
        <v>3020</v>
      </c>
      <c r="B517" s="3" t="s">
        <v>65</v>
      </c>
      <c r="C517" s="3" t="s">
        <v>3099</v>
      </c>
      <c r="D517" s="3" t="s">
        <v>539</v>
      </c>
      <c r="E517" s="3"/>
      <c r="F517" s="3" t="s">
        <v>3100</v>
      </c>
      <c r="G517" s="3" t="s">
        <v>3101</v>
      </c>
      <c r="H517" s="3" t="s">
        <v>240</v>
      </c>
      <c r="I517" s="3" t="s">
        <v>226</v>
      </c>
      <c r="J517" s="3" t="s">
        <v>1585</v>
      </c>
      <c r="K517" s="3"/>
      <c r="L517" s="3" t="s">
        <v>1591</v>
      </c>
      <c r="M517" s="3" t="s">
        <v>46</v>
      </c>
      <c r="N517" s="3" t="s">
        <v>3102</v>
      </c>
      <c r="O517" s="3" t="s">
        <v>183</v>
      </c>
      <c r="P517" s="3" t="s">
        <v>1686</v>
      </c>
    </row>
    <row r="518" customFormat="false" ht="35.05" hidden="false" customHeight="false" outlineLevel="0" collapsed="false">
      <c r="A518" s="3" t="s">
        <v>3020</v>
      </c>
      <c r="B518" s="3" t="s">
        <v>17</v>
      </c>
      <c r="C518" s="3" t="s">
        <v>3103</v>
      </c>
      <c r="D518" s="3" t="s">
        <v>539</v>
      </c>
      <c r="E518" s="3"/>
      <c r="F518" s="3" t="s">
        <v>3104</v>
      </c>
      <c r="G518" s="3" t="s">
        <v>3105</v>
      </c>
      <c r="H518" s="3" t="s">
        <v>240</v>
      </c>
      <c r="I518" s="3" t="s">
        <v>24</v>
      </c>
      <c r="J518" s="3" t="s">
        <v>1585</v>
      </c>
      <c r="K518" s="3" t="s">
        <v>3106</v>
      </c>
      <c r="L518" s="3" t="s">
        <v>3028</v>
      </c>
      <c r="M518" s="3" t="s">
        <v>46</v>
      </c>
      <c r="N518" s="3" t="s">
        <v>3029</v>
      </c>
      <c r="O518" s="3" t="s">
        <v>183</v>
      </c>
      <c r="P518" s="3" t="s">
        <v>1680</v>
      </c>
    </row>
    <row r="519" customFormat="false" ht="35.05" hidden="false" customHeight="false" outlineLevel="0" collapsed="false">
      <c r="A519" s="3" t="s">
        <v>3020</v>
      </c>
      <c r="B519" s="3" t="s">
        <v>17</v>
      </c>
      <c r="C519" s="3" t="s">
        <v>2338</v>
      </c>
      <c r="D519" s="3" t="s">
        <v>539</v>
      </c>
      <c r="E519" s="3"/>
      <c r="F519" s="3" t="s">
        <v>3107</v>
      </c>
      <c r="G519" s="3" t="s">
        <v>3108</v>
      </c>
      <c r="H519" s="3" t="s">
        <v>240</v>
      </c>
      <c r="I519" s="3" t="s">
        <v>1888</v>
      </c>
      <c r="J519" s="3" t="s">
        <v>1585</v>
      </c>
      <c r="K519" s="3" t="s">
        <v>3109</v>
      </c>
      <c r="L519" s="3" t="s">
        <v>1591</v>
      </c>
      <c r="M519" s="3" t="s">
        <v>46</v>
      </c>
      <c r="N519" s="3" t="s">
        <v>3102</v>
      </c>
      <c r="O519" s="3" t="s">
        <v>183</v>
      </c>
      <c r="P519" s="3" t="s">
        <v>1694</v>
      </c>
    </row>
    <row r="520" customFormat="false" ht="57.45" hidden="false" customHeight="false" outlineLevel="0" collapsed="false">
      <c r="A520" s="3" t="s">
        <v>3020</v>
      </c>
      <c r="B520" s="3" t="s">
        <v>17</v>
      </c>
      <c r="C520" s="3" t="s">
        <v>3110</v>
      </c>
      <c r="D520" s="3" t="s">
        <v>539</v>
      </c>
      <c r="E520" s="3"/>
      <c r="F520" s="3" t="s">
        <v>3111</v>
      </c>
      <c r="G520" s="3" t="s">
        <v>3112</v>
      </c>
      <c r="H520" s="3" t="s">
        <v>240</v>
      </c>
      <c r="I520" s="3" t="s">
        <v>1786</v>
      </c>
      <c r="J520" s="3" t="s">
        <v>1585</v>
      </c>
      <c r="K520" s="3" t="s">
        <v>3113</v>
      </c>
      <c r="L520" s="3" t="s">
        <v>1591</v>
      </c>
      <c r="M520" s="3" t="s">
        <v>46</v>
      </c>
      <c r="N520" s="3" t="s">
        <v>3102</v>
      </c>
      <c r="O520" s="3" t="s">
        <v>183</v>
      </c>
      <c r="P520" s="3" t="s">
        <v>3114</v>
      </c>
    </row>
    <row r="521" customFormat="false" ht="57.45" hidden="false" customHeight="false" outlineLevel="0" collapsed="false">
      <c r="A521" s="3" t="s">
        <v>3020</v>
      </c>
      <c r="B521" s="3" t="s">
        <v>17</v>
      </c>
      <c r="C521" s="3" t="s">
        <v>3115</v>
      </c>
      <c r="D521" s="3" t="s">
        <v>539</v>
      </c>
      <c r="E521" s="3"/>
      <c r="F521" s="3" t="s">
        <v>3116</v>
      </c>
      <c r="G521" s="3" t="s">
        <v>3117</v>
      </c>
      <c r="H521" s="3" t="s">
        <v>240</v>
      </c>
      <c r="I521" s="3" t="s">
        <v>763</v>
      </c>
      <c r="J521" s="3" t="s">
        <v>1585</v>
      </c>
      <c r="K521" s="3"/>
      <c r="L521" s="3" t="s">
        <v>3028</v>
      </c>
      <c r="M521" s="3" t="s">
        <v>46</v>
      </c>
      <c r="N521" s="3" t="s">
        <v>3029</v>
      </c>
      <c r="O521" s="3" t="s">
        <v>183</v>
      </c>
      <c r="P521" s="3" t="s">
        <v>3118</v>
      </c>
    </row>
    <row r="522" customFormat="false" ht="35.05" hidden="false" customHeight="false" outlineLevel="0" collapsed="false">
      <c r="A522" s="2" t="s">
        <v>3020</v>
      </c>
      <c r="B522" s="2" t="s">
        <v>17</v>
      </c>
      <c r="C522" s="2" t="s">
        <v>3119</v>
      </c>
      <c r="D522" s="2" t="s">
        <v>539</v>
      </c>
      <c r="E522" s="2"/>
      <c r="F522" s="2" t="s">
        <v>3120</v>
      </c>
      <c r="G522" s="2" t="s">
        <v>3121</v>
      </c>
      <c r="H522" s="2" t="s">
        <v>240</v>
      </c>
      <c r="I522" s="2" t="s">
        <v>36</v>
      </c>
      <c r="J522" s="2" t="s">
        <v>1585</v>
      </c>
      <c r="K522" s="2" t="s">
        <v>3122</v>
      </c>
      <c r="L522" s="2" t="s">
        <v>3123</v>
      </c>
      <c r="M522" s="2" t="s">
        <v>46</v>
      </c>
      <c r="N522" s="2" t="s">
        <v>3124</v>
      </c>
      <c r="O522" s="2" t="s">
        <v>29</v>
      </c>
      <c r="P522" s="2" t="s">
        <v>1694</v>
      </c>
    </row>
    <row r="523" customFormat="false" ht="35.05" hidden="false" customHeight="false" outlineLevel="0" collapsed="false">
      <c r="A523" s="3" t="s">
        <v>3020</v>
      </c>
      <c r="B523" s="3" t="s">
        <v>17</v>
      </c>
      <c r="C523" s="3" t="s">
        <v>3125</v>
      </c>
      <c r="D523" s="3" t="s">
        <v>539</v>
      </c>
      <c r="E523" s="3"/>
      <c r="F523" s="3" t="s">
        <v>3126</v>
      </c>
      <c r="G523" s="3" t="s">
        <v>3127</v>
      </c>
      <c r="H523" s="3" t="s">
        <v>240</v>
      </c>
      <c r="I523" s="3" t="s">
        <v>1662</v>
      </c>
      <c r="J523" s="3" t="s">
        <v>1585</v>
      </c>
      <c r="K523" s="3" t="s">
        <v>3128</v>
      </c>
      <c r="L523" s="3" t="s">
        <v>3028</v>
      </c>
      <c r="M523" s="3" t="s">
        <v>46</v>
      </c>
      <c r="N523" s="3" t="s">
        <v>3029</v>
      </c>
      <c r="O523" s="3" t="s">
        <v>183</v>
      </c>
      <c r="P523" s="3" t="s">
        <v>1680</v>
      </c>
    </row>
    <row r="524" customFormat="false" ht="35.05" hidden="false" customHeight="false" outlineLevel="0" collapsed="false">
      <c r="A524" s="3" t="s">
        <v>3020</v>
      </c>
      <c r="B524" s="3" t="s">
        <v>17</v>
      </c>
      <c r="C524" s="3" t="s">
        <v>1440</v>
      </c>
      <c r="D524" s="3" t="s">
        <v>539</v>
      </c>
      <c r="E524" s="3"/>
      <c r="F524" s="3" t="s">
        <v>3129</v>
      </c>
      <c r="G524" s="3" t="s">
        <v>3130</v>
      </c>
      <c r="H524" s="3" t="s">
        <v>240</v>
      </c>
      <c r="I524" s="3" t="s">
        <v>226</v>
      </c>
      <c r="J524" s="3" t="s">
        <v>1585</v>
      </c>
      <c r="K524" s="3"/>
      <c r="L524" s="3" t="s">
        <v>3131</v>
      </c>
      <c r="M524" s="3" t="s">
        <v>121</v>
      </c>
      <c r="N524" s="3" t="s">
        <v>3132</v>
      </c>
      <c r="O524" s="3" t="s">
        <v>183</v>
      </c>
      <c r="P524" s="3" t="s">
        <v>1694</v>
      </c>
    </row>
    <row r="525" customFormat="false" ht="35.05" hidden="false" customHeight="false" outlineLevel="0" collapsed="false">
      <c r="A525" s="3" t="s">
        <v>3020</v>
      </c>
      <c r="B525" s="3" t="s">
        <v>65</v>
      </c>
      <c r="C525" s="3" t="s">
        <v>3133</v>
      </c>
      <c r="D525" s="3" t="s">
        <v>539</v>
      </c>
      <c r="E525" s="3"/>
      <c r="F525" s="3" t="s">
        <v>3134</v>
      </c>
      <c r="G525" s="3" t="s">
        <v>3135</v>
      </c>
      <c r="H525" s="3" t="s">
        <v>240</v>
      </c>
      <c r="I525" s="3" t="s">
        <v>226</v>
      </c>
      <c r="J525" s="3" t="s">
        <v>1585</v>
      </c>
      <c r="K525" s="3"/>
      <c r="L525" s="3" t="s">
        <v>1591</v>
      </c>
      <c r="M525" s="3" t="s">
        <v>46</v>
      </c>
      <c r="N525" s="3" t="s">
        <v>3102</v>
      </c>
      <c r="O525" s="3" t="s">
        <v>183</v>
      </c>
      <c r="P525" s="3" t="s">
        <v>1686</v>
      </c>
    </row>
    <row r="526" customFormat="false" ht="46.25" hidden="false" customHeight="false" outlineLevel="0" collapsed="false">
      <c r="A526" s="3" t="s">
        <v>3020</v>
      </c>
      <c r="B526" s="3" t="s">
        <v>17</v>
      </c>
      <c r="C526" s="3" t="s">
        <v>3136</v>
      </c>
      <c r="D526" s="3" t="s">
        <v>539</v>
      </c>
      <c r="E526" s="3"/>
      <c r="F526" s="3" t="s">
        <v>3137</v>
      </c>
      <c r="G526" s="3" t="s">
        <v>3138</v>
      </c>
      <c r="H526" s="3" t="s">
        <v>240</v>
      </c>
      <c r="I526" s="3" t="s">
        <v>359</v>
      </c>
      <c r="J526" s="3" t="s">
        <v>1585</v>
      </c>
      <c r="K526" s="3" t="s">
        <v>3139</v>
      </c>
      <c r="L526" s="3" t="s">
        <v>1591</v>
      </c>
      <c r="M526" s="3" t="s">
        <v>46</v>
      </c>
      <c r="N526" s="3" t="s">
        <v>3102</v>
      </c>
      <c r="O526" s="3" t="s">
        <v>183</v>
      </c>
      <c r="P526" s="3" t="s">
        <v>1694</v>
      </c>
    </row>
    <row r="527" customFormat="false" ht="35.05" hidden="false" customHeight="false" outlineLevel="0" collapsed="false">
      <c r="A527" s="2" t="s">
        <v>3020</v>
      </c>
      <c r="B527" s="2" t="s">
        <v>17</v>
      </c>
      <c r="C527" s="2" t="s">
        <v>3140</v>
      </c>
      <c r="D527" s="2" t="s">
        <v>539</v>
      </c>
      <c r="E527" s="2"/>
      <c r="F527" s="2" t="s">
        <v>3141</v>
      </c>
      <c r="G527" s="2" t="s">
        <v>3142</v>
      </c>
      <c r="H527" s="2" t="s">
        <v>240</v>
      </c>
      <c r="I527" s="2" t="s">
        <v>24</v>
      </c>
      <c r="J527" s="2" t="s">
        <v>1585</v>
      </c>
      <c r="K527" s="2" t="s">
        <v>3143</v>
      </c>
      <c r="L527" s="2" t="s">
        <v>1843</v>
      </c>
      <c r="M527" s="2" t="s">
        <v>46</v>
      </c>
      <c r="N527" s="2" t="s">
        <v>3144</v>
      </c>
      <c r="O527" s="2" t="s">
        <v>29</v>
      </c>
      <c r="P527" s="2" t="s">
        <v>1694</v>
      </c>
    </row>
    <row r="528" customFormat="false" ht="91" hidden="false" customHeight="false" outlineLevel="0" collapsed="false">
      <c r="A528" s="2" t="s">
        <v>3145</v>
      </c>
      <c r="B528" s="2" t="s">
        <v>17</v>
      </c>
      <c r="C528" s="2" t="s">
        <v>3146</v>
      </c>
      <c r="D528" s="2" t="s">
        <v>19</v>
      </c>
      <c r="E528" s="2" t="s">
        <v>20</v>
      </c>
      <c r="F528" s="2" t="s">
        <v>3147</v>
      </c>
      <c r="G528" s="2" t="s">
        <v>3148</v>
      </c>
      <c r="H528" s="2" t="s">
        <v>1139</v>
      </c>
      <c r="I528" s="2" t="s">
        <v>3149</v>
      </c>
      <c r="J528" s="2" t="s">
        <v>44</v>
      </c>
      <c r="K528" s="2"/>
      <c r="L528" s="2" t="s">
        <v>3150</v>
      </c>
      <c r="M528" s="2" t="s">
        <v>27</v>
      </c>
      <c r="N528" s="2" t="s">
        <v>3151</v>
      </c>
      <c r="O528" s="2" t="s">
        <v>29</v>
      </c>
      <c r="P528" s="2" t="s">
        <v>3152</v>
      </c>
    </row>
    <row r="529" customFormat="false" ht="191.75" hidden="false" customHeight="false" outlineLevel="0" collapsed="false">
      <c r="A529" s="2" t="s">
        <v>3145</v>
      </c>
      <c r="B529" s="2" t="s">
        <v>17</v>
      </c>
      <c r="C529" s="2" t="s">
        <v>3153</v>
      </c>
      <c r="D529" s="2" t="s">
        <v>19</v>
      </c>
      <c r="E529" s="2" t="s">
        <v>20</v>
      </c>
      <c r="F529" s="2" t="s">
        <v>3154</v>
      </c>
      <c r="G529" s="2" t="s">
        <v>3155</v>
      </c>
      <c r="H529" s="2" t="s">
        <v>3156</v>
      </c>
      <c r="I529" s="2" t="s">
        <v>1036</v>
      </c>
      <c r="J529" s="2" t="s">
        <v>44</v>
      </c>
      <c r="K529" s="2"/>
      <c r="L529" s="2" t="s">
        <v>3157</v>
      </c>
      <c r="M529" s="2" t="s">
        <v>27</v>
      </c>
      <c r="N529" s="2" t="s">
        <v>3158</v>
      </c>
      <c r="O529" s="2" t="s">
        <v>29</v>
      </c>
      <c r="P529" s="2" t="s">
        <v>3159</v>
      </c>
    </row>
    <row r="530" customFormat="false" ht="91" hidden="false" customHeight="false" outlineLevel="0" collapsed="false">
      <c r="A530" s="2" t="s">
        <v>3145</v>
      </c>
      <c r="B530" s="2" t="s">
        <v>17</v>
      </c>
      <c r="C530" s="2" t="s">
        <v>1902</v>
      </c>
      <c r="D530" s="2" t="s">
        <v>19</v>
      </c>
      <c r="E530" s="2" t="s">
        <v>20</v>
      </c>
      <c r="F530" s="2" t="s">
        <v>3160</v>
      </c>
      <c r="G530" s="2" t="s">
        <v>3161</v>
      </c>
      <c r="H530" s="2" t="s">
        <v>2542</v>
      </c>
      <c r="I530" s="2" t="s">
        <v>2898</v>
      </c>
      <c r="J530" s="2" t="s">
        <v>584</v>
      </c>
      <c r="K530" s="2"/>
      <c r="L530" s="2" t="s">
        <v>3162</v>
      </c>
      <c r="M530" s="2" t="s">
        <v>243</v>
      </c>
      <c r="N530" s="2" t="s">
        <v>3163</v>
      </c>
      <c r="O530" s="2" t="s">
        <v>29</v>
      </c>
      <c r="P530" s="2" t="s">
        <v>3164</v>
      </c>
    </row>
    <row r="531" customFormat="false" ht="91" hidden="false" customHeight="false" outlineLevel="0" collapsed="false">
      <c r="A531" s="2" t="s">
        <v>3145</v>
      </c>
      <c r="B531" s="2" t="s">
        <v>17</v>
      </c>
      <c r="C531" s="2" t="s">
        <v>3165</v>
      </c>
      <c r="D531" s="2" t="s">
        <v>50</v>
      </c>
      <c r="E531" s="2" t="s">
        <v>20</v>
      </c>
      <c r="F531" s="2" t="s">
        <v>3166</v>
      </c>
      <c r="G531" s="2" t="s">
        <v>3167</v>
      </c>
      <c r="H531" s="2" t="s">
        <v>3168</v>
      </c>
      <c r="I531" s="2" t="s">
        <v>3169</v>
      </c>
      <c r="J531" s="2" t="s">
        <v>44</v>
      </c>
      <c r="K531" s="2"/>
      <c r="L531" s="2" t="s">
        <v>3170</v>
      </c>
      <c r="M531" s="2" t="s">
        <v>27</v>
      </c>
      <c r="N531" s="2" t="s">
        <v>3171</v>
      </c>
      <c r="O531" s="2" t="s">
        <v>29</v>
      </c>
      <c r="P531" s="2" t="s">
        <v>3172</v>
      </c>
    </row>
    <row r="532" customFormat="false" ht="79.85" hidden="false" customHeight="false" outlineLevel="0" collapsed="false">
      <c r="A532" s="2" t="s">
        <v>3145</v>
      </c>
      <c r="B532" s="2" t="s">
        <v>169</v>
      </c>
      <c r="C532" s="2" t="s">
        <v>3173</v>
      </c>
      <c r="D532" s="2" t="s">
        <v>50</v>
      </c>
      <c r="E532" s="2" t="s">
        <v>67</v>
      </c>
      <c r="F532" s="2" t="s">
        <v>3174</v>
      </c>
      <c r="G532" s="2" t="s">
        <v>3175</v>
      </c>
      <c r="H532" s="2" t="s">
        <v>35</v>
      </c>
      <c r="I532" s="2" t="s">
        <v>3176</v>
      </c>
      <c r="J532" s="2" t="s">
        <v>25</v>
      </c>
      <c r="K532" s="2"/>
      <c r="L532" s="2" t="s">
        <v>3177</v>
      </c>
      <c r="M532" s="2" t="s">
        <v>46</v>
      </c>
      <c r="N532" s="2" t="s">
        <v>3178</v>
      </c>
      <c r="O532" s="2" t="s">
        <v>29</v>
      </c>
      <c r="P532" s="2" t="s">
        <v>3179</v>
      </c>
    </row>
    <row r="533" customFormat="false" ht="68.65" hidden="false" customHeight="false" outlineLevel="0" collapsed="false">
      <c r="A533" s="2" t="s">
        <v>3145</v>
      </c>
      <c r="B533" s="2" t="s">
        <v>17</v>
      </c>
      <c r="C533" s="2" t="s">
        <v>3180</v>
      </c>
      <c r="D533" s="2" t="s">
        <v>50</v>
      </c>
      <c r="E533" s="2" t="s">
        <v>67</v>
      </c>
      <c r="F533" s="2" t="s">
        <v>3181</v>
      </c>
      <c r="G533" s="2" t="s">
        <v>3182</v>
      </c>
      <c r="H533" s="2" t="s">
        <v>35</v>
      </c>
      <c r="I533" s="2" t="s">
        <v>3183</v>
      </c>
      <c r="J533" s="2" t="s">
        <v>25</v>
      </c>
      <c r="K533" s="2"/>
      <c r="L533" s="2" t="s">
        <v>3184</v>
      </c>
      <c r="M533" s="2" t="s">
        <v>27</v>
      </c>
      <c r="N533" s="2" t="s">
        <v>3185</v>
      </c>
      <c r="O533" s="2" t="s">
        <v>29</v>
      </c>
      <c r="P533" s="2" t="s">
        <v>3186</v>
      </c>
    </row>
    <row r="534" customFormat="false" ht="102.2" hidden="false" customHeight="false" outlineLevel="0" collapsed="false">
      <c r="A534" s="2" t="s">
        <v>3145</v>
      </c>
      <c r="B534" s="2" t="s">
        <v>65</v>
      </c>
      <c r="C534" s="2" t="s">
        <v>3187</v>
      </c>
      <c r="D534" s="2" t="s">
        <v>50</v>
      </c>
      <c r="E534" s="2" t="s">
        <v>67</v>
      </c>
      <c r="F534" s="2" t="s">
        <v>3188</v>
      </c>
      <c r="G534" s="2" t="s">
        <v>3189</v>
      </c>
      <c r="H534" s="2" t="s">
        <v>35</v>
      </c>
      <c r="I534" s="2" t="s">
        <v>279</v>
      </c>
      <c r="J534" s="2" t="s">
        <v>25</v>
      </c>
      <c r="K534" s="2"/>
      <c r="L534" s="2" t="s">
        <v>3177</v>
      </c>
      <c r="M534" s="2" t="s">
        <v>46</v>
      </c>
      <c r="N534" s="2" t="s">
        <v>3190</v>
      </c>
      <c r="O534" s="2" t="s">
        <v>29</v>
      </c>
      <c r="P534" s="2" t="s">
        <v>3191</v>
      </c>
    </row>
    <row r="535" customFormat="false" ht="79.85" hidden="false" customHeight="false" outlineLevel="0" collapsed="false">
      <c r="A535" s="2" t="s">
        <v>3145</v>
      </c>
      <c r="B535" s="2" t="s">
        <v>17</v>
      </c>
      <c r="C535" s="2" t="s">
        <v>3192</v>
      </c>
      <c r="D535" s="2" t="s">
        <v>50</v>
      </c>
      <c r="E535" s="2" t="s">
        <v>20</v>
      </c>
      <c r="F535" s="2" t="s">
        <v>3193</v>
      </c>
      <c r="G535" s="2" t="s">
        <v>3194</v>
      </c>
      <c r="H535" s="2" t="s">
        <v>3168</v>
      </c>
      <c r="I535" s="2" t="s">
        <v>372</v>
      </c>
      <c r="J535" s="2" t="s">
        <v>44</v>
      </c>
      <c r="K535" s="2"/>
      <c r="L535" s="2" t="s">
        <v>3162</v>
      </c>
      <c r="M535" s="2" t="s">
        <v>46</v>
      </c>
      <c r="N535" s="2" t="s">
        <v>3195</v>
      </c>
      <c r="O535" s="2" t="s">
        <v>29</v>
      </c>
      <c r="P535" s="2" t="s">
        <v>56</v>
      </c>
    </row>
    <row r="536" customFormat="false" ht="79.85" hidden="false" customHeight="false" outlineLevel="0" collapsed="false">
      <c r="A536" s="2" t="s">
        <v>3145</v>
      </c>
      <c r="B536" s="2" t="s">
        <v>17</v>
      </c>
      <c r="C536" s="2" t="s">
        <v>3196</v>
      </c>
      <c r="D536" s="2" t="s">
        <v>50</v>
      </c>
      <c r="E536" s="2" t="s">
        <v>67</v>
      </c>
      <c r="F536" s="2" t="s">
        <v>3197</v>
      </c>
      <c r="G536" s="2" t="s">
        <v>3198</v>
      </c>
      <c r="H536" s="2" t="s">
        <v>35</v>
      </c>
      <c r="I536" s="2" t="s">
        <v>3199</v>
      </c>
      <c r="J536" s="2" t="s">
        <v>25</v>
      </c>
      <c r="K536" s="2"/>
      <c r="L536" s="2" t="s">
        <v>3200</v>
      </c>
      <c r="M536" s="2" t="s">
        <v>46</v>
      </c>
      <c r="N536" s="2" t="s">
        <v>3201</v>
      </c>
      <c r="O536" s="2" t="s">
        <v>29</v>
      </c>
      <c r="P536" s="2" t="s">
        <v>3202</v>
      </c>
    </row>
    <row r="537" customFormat="false" ht="79.85" hidden="false" customHeight="false" outlineLevel="0" collapsed="false">
      <c r="A537" s="2" t="s">
        <v>3145</v>
      </c>
      <c r="B537" s="2" t="s">
        <v>17</v>
      </c>
      <c r="C537" s="2" t="s">
        <v>88</v>
      </c>
      <c r="D537" s="2" t="s">
        <v>89</v>
      </c>
      <c r="E537" s="2" t="s">
        <v>20</v>
      </c>
      <c r="F537" s="2" t="s">
        <v>3203</v>
      </c>
      <c r="G537" s="2" t="s">
        <v>3204</v>
      </c>
      <c r="H537" s="2" t="s">
        <v>3205</v>
      </c>
      <c r="I537" s="2" t="s">
        <v>226</v>
      </c>
      <c r="J537" s="2" t="s">
        <v>118</v>
      </c>
      <c r="K537" s="2" t="s">
        <v>1261</v>
      </c>
      <c r="L537" s="2" t="s">
        <v>3206</v>
      </c>
      <c r="M537" s="2" t="s">
        <v>27</v>
      </c>
      <c r="N537" s="2" t="s">
        <v>3207</v>
      </c>
      <c r="O537" s="2" t="s">
        <v>29</v>
      </c>
      <c r="P537" s="2" t="s">
        <v>785</v>
      </c>
    </row>
    <row r="538" customFormat="false" ht="91" hidden="false" customHeight="false" outlineLevel="0" collapsed="false">
      <c r="A538" s="2" t="s">
        <v>3145</v>
      </c>
      <c r="B538" s="2" t="s">
        <v>17</v>
      </c>
      <c r="C538" s="2" t="s">
        <v>3208</v>
      </c>
      <c r="D538" s="2" t="s">
        <v>89</v>
      </c>
      <c r="E538" s="2" t="s">
        <v>20</v>
      </c>
      <c r="F538" s="2" t="s">
        <v>3209</v>
      </c>
      <c r="G538" s="2" t="s">
        <v>3210</v>
      </c>
      <c r="H538" s="2" t="s">
        <v>737</v>
      </c>
      <c r="I538" s="2" t="s">
        <v>805</v>
      </c>
      <c r="J538" s="2" t="s">
        <v>44</v>
      </c>
      <c r="K538" s="2" t="s">
        <v>3211</v>
      </c>
      <c r="L538" s="2" t="s">
        <v>3212</v>
      </c>
      <c r="M538" s="2" t="s">
        <v>160</v>
      </c>
      <c r="N538" s="2" t="s">
        <v>3213</v>
      </c>
      <c r="O538" s="2" t="s">
        <v>29</v>
      </c>
      <c r="P538" s="2" t="s">
        <v>3214</v>
      </c>
    </row>
    <row r="539" customFormat="false" ht="79.85" hidden="false" customHeight="false" outlineLevel="0" collapsed="false">
      <c r="A539" s="2" t="s">
        <v>3145</v>
      </c>
      <c r="B539" s="2" t="s">
        <v>31</v>
      </c>
      <c r="C539" s="2" t="s">
        <v>3215</v>
      </c>
      <c r="D539" s="2" t="s">
        <v>89</v>
      </c>
      <c r="E539" s="2" t="s">
        <v>20</v>
      </c>
      <c r="F539" s="2" t="s">
        <v>3216</v>
      </c>
      <c r="G539" s="2" t="s">
        <v>3217</v>
      </c>
      <c r="H539" s="2" t="s">
        <v>3218</v>
      </c>
      <c r="I539" s="2" t="s">
        <v>233</v>
      </c>
      <c r="J539" s="2" t="s">
        <v>44</v>
      </c>
      <c r="K539" s="2"/>
      <c r="L539" s="2" t="s">
        <v>3219</v>
      </c>
      <c r="M539" s="2" t="s">
        <v>160</v>
      </c>
      <c r="N539" s="2" t="s">
        <v>3220</v>
      </c>
      <c r="O539" s="2" t="s">
        <v>29</v>
      </c>
      <c r="P539" s="2" t="s">
        <v>3221</v>
      </c>
    </row>
    <row r="540" customFormat="false" ht="79.85" hidden="false" customHeight="false" outlineLevel="0" collapsed="false">
      <c r="A540" s="2" t="s">
        <v>3145</v>
      </c>
      <c r="B540" s="2" t="s">
        <v>17</v>
      </c>
      <c r="C540" s="2" t="s">
        <v>3222</v>
      </c>
      <c r="D540" s="2" t="s">
        <v>89</v>
      </c>
      <c r="E540" s="2" t="s">
        <v>20</v>
      </c>
      <c r="F540" s="2" t="s">
        <v>3223</v>
      </c>
      <c r="G540" s="2" t="s">
        <v>3224</v>
      </c>
      <c r="H540" s="2" t="s">
        <v>240</v>
      </c>
      <c r="I540" s="2" t="s">
        <v>3225</v>
      </c>
      <c r="J540" s="2" t="s">
        <v>92</v>
      </c>
      <c r="K540" s="2"/>
      <c r="L540" s="2" t="s">
        <v>3226</v>
      </c>
      <c r="M540" s="2" t="s">
        <v>27</v>
      </c>
      <c r="N540" s="2" t="s">
        <v>3227</v>
      </c>
      <c r="O540" s="2" t="s">
        <v>29</v>
      </c>
      <c r="P540" s="2" t="s">
        <v>785</v>
      </c>
    </row>
    <row r="541" customFormat="false" ht="91" hidden="false" customHeight="false" outlineLevel="0" collapsed="false">
      <c r="A541" s="2" t="s">
        <v>3145</v>
      </c>
      <c r="B541" s="2" t="s">
        <v>17</v>
      </c>
      <c r="C541" s="2" t="s">
        <v>3228</v>
      </c>
      <c r="D541" s="2" t="s">
        <v>89</v>
      </c>
      <c r="E541" s="2" t="s">
        <v>20</v>
      </c>
      <c r="F541" s="2" t="s">
        <v>3229</v>
      </c>
      <c r="G541" s="2" t="s">
        <v>3230</v>
      </c>
      <c r="H541" s="2" t="s">
        <v>258</v>
      </c>
      <c r="I541" s="2" t="s">
        <v>36</v>
      </c>
      <c r="J541" s="2" t="s">
        <v>44</v>
      </c>
      <c r="K541" s="2" t="s">
        <v>3231</v>
      </c>
      <c r="L541" s="2" t="s">
        <v>660</v>
      </c>
      <c r="M541" s="2" t="s">
        <v>46</v>
      </c>
      <c r="N541" s="2" t="s">
        <v>3232</v>
      </c>
      <c r="O541" s="2" t="s">
        <v>29</v>
      </c>
      <c r="P541" s="2" t="s">
        <v>3233</v>
      </c>
    </row>
    <row r="542" customFormat="false" ht="79.85" hidden="false" customHeight="false" outlineLevel="0" collapsed="false">
      <c r="A542" s="2" t="s">
        <v>3145</v>
      </c>
      <c r="B542" s="2" t="s">
        <v>17</v>
      </c>
      <c r="C542" s="2" t="s">
        <v>3234</v>
      </c>
      <c r="D542" s="2" t="s">
        <v>89</v>
      </c>
      <c r="E542" s="2" t="s">
        <v>20</v>
      </c>
      <c r="F542" s="2" t="s">
        <v>3235</v>
      </c>
      <c r="G542" s="2" t="s">
        <v>3236</v>
      </c>
      <c r="H542" s="2" t="s">
        <v>240</v>
      </c>
      <c r="I542" s="2" t="s">
        <v>2629</v>
      </c>
      <c r="J542" s="2" t="s">
        <v>92</v>
      </c>
      <c r="K542" s="2"/>
      <c r="L542" s="2" t="s">
        <v>3237</v>
      </c>
      <c r="M542" s="2" t="s">
        <v>27</v>
      </c>
      <c r="N542" s="2" t="s">
        <v>3238</v>
      </c>
      <c r="O542" s="2" t="s">
        <v>29</v>
      </c>
      <c r="P542" s="2" t="s">
        <v>3239</v>
      </c>
    </row>
    <row r="543" customFormat="false" ht="79.85" hidden="false" customHeight="false" outlineLevel="0" collapsed="false">
      <c r="A543" s="2" t="s">
        <v>3145</v>
      </c>
      <c r="B543" s="2" t="s">
        <v>17</v>
      </c>
      <c r="C543" s="2" t="s">
        <v>3240</v>
      </c>
      <c r="D543" s="2" t="s">
        <v>139</v>
      </c>
      <c r="E543" s="2" t="s">
        <v>140</v>
      </c>
      <c r="F543" s="2" t="s">
        <v>3241</v>
      </c>
      <c r="G543" s="2" t="s">
        <v>3242</v>
      </c>
      <c r="H543" s="2" t="s">
        <v>35</v>
      </c>
      <c r="I543" s="2" t="s">
        <v>3243</v>
      </c>
      <c r="J543" s="2" t="s">
        <v>25</v>
      </c>
      <c r="K543" s="2"/>
      <c r="L543" s="2" t="s">
        <v>3177</v>
      </c>
      <c r="M543" s="2" t="s">
        <v>46</v>
      </c>
      <c r="N543" s="2" t="s">
        <v>3244</v>
      </c>
      <c r="O543" s="2" t="s">
        <v>29</v>
      </c>
      <c r="P543" s="2" t="s">
        <v>3245</v>
      </c>
    </row>
    <row r="544" customFormat="false" ht="135.8" hidden="false" customHeight="false" outlineLevel="0" collapsed="false">
      <c r="A544" s="2" t="s">
        <v>3145</v>
      </c>
      <c r="B544" s="2" t="s">
        <v>17</v>
      </c>
      <c r="C544" s="2" t="s">
        <v>3246</v>
      </c>
      <c r="D544" s="2" t="s">
        <v>139</v>
      </c>
      <c r="E544" s="2" t="s">
        <v>140</v>
      </c>
      <c r="F544" s="2" t="s">
        <v>3247</v>
      </c>
      <c r="G544" s="2" t="s">
        <v>3248</v>
      </c>
      <c r="H544" s="2" t="s">
        <v>3168</v>
      </c>
      <c r="I544" s="2" t="s">
        <v>1274</v>
      </c>
      <c r="J544" s="2" t="s">
        <v>44</v>
      </c>
      <c r="K544" s="2"/>
      <c r="L544" s="2" t="s">
        <v>3249</v>
      </c>
      <c r="M544" s="2" t="s">
        <v>46</v>
      </c>
      <c r="N544" s="2" t="s">
        <v>3250</v>
      </c>
      <c r="O544" s="2" t="s">
        <v>29</v>
      </c>
      <c r="P544" s="2" t="s">
        <v>3251</v>
      </c>
    </row>
    <row r="545" customFormat="false" ht="79.85" hidden="false" customHeight="false" outlineLevel="0" collapsed="false">
      <c r="A545" s="2" t="s">
        <v>3145</v>
      </c>
      <c r="B545" s="2" t="s">
        <v>169</v>
      </c>
      <c r="C545" s="2" t="s">
        <v>3252</v>
      </c>
      <c r="D545" s="2" t="s">
        <v>139</v>
      </c>
      <c r="E545" s="2" t="s">
        <v>140</v>
      </c>
      <c r="F545" s="2" t="s">
        <v>3253</v>
      </c>
      <c r="G545" s="2" t="s">
        <v>3254</v>
      </c>
      <c r="H545" s="2" t="s">
        <v>3255</v>
      </c>
      <c r="I545" s="2" t="s">
        <v>346</v>
      </c>
      <c r="J545" s="2" t="s">
        <v>25</v>
      </c>
      <c r="K545" s="2"/>
      <c r="L545" s="2" t="s">
        <v>3256</v>
      </c>
      <c r="M545" s="2" t="s">
        <v>46</v>
      </c>
      <c r="N545" s="2" t="s">
        <v>3257</v>
      </c>
      <c r="O545" s="2" t="s">
        <v>29</v>
      </c>
      <c r="P545" s="2" t="s">
        <v>3258</v>
      </c>
    </row>
    <row r="546" customFormat="false" ht="68.65" hidden="false" customHeight="false" outlineLevel="0" collapsed="false">
      <c r="A546" s="2" t="s">
        <v>3145</v>
      </c>
      <c r="B546" s="2" t="s">
        <v>17</v>
      </c>
      <c r="C546" s="2" t="s">
        <v>3259</v>
      </c>
      <c r="D546" s="2" t="s">
        <v>139</v>
      </c>
      <c r="E546" s="2" t="s">
        <v>140</v>
      </c>
      <c r="F546" s="2" t="s">
        <v>3260</v>
      </c>
      <c r="G546" s="2" t="s">
        <v>3261</v>
      </c>
      <c r="H546" s="2" t="s">
        <v>35</v>
      </c>
      <c r="I546" s="2" t="s">
        <v>3183</v>
      </c>
      <c r="J546" s="2" t="s">
        <v>25</v>
      </c>
      <c r="K546" s="2"/>
      <c r="L546" s="2" t="s">
        <v>3184</v>
      </c>
      <c r="M546" s="2" t="s">
        <v>27</v>
      </c>
      <c r="N546" s="2" t="s">
        <v>3185</v>
      </c>
      <c r="O546" s="2" t="s">
        <v>29</v>
      </c>
      <c r="P546" s="2" t="s">
        <v>3262</v>
      </c>
    </row>
    <row r="547" customFormat="false" ht="91" hidden="false" customHeight="false" outlineLevel="0" collapsed="false">
      <c r="A547" s="2" t="s">
        <v>3145</v>
      </c>
      <c r="B547" s="2" t="s">
        <v>169</v>
      </c>
      <c r="C547" s="2" t="s">
        <v>3263</v>
      </c>
      <c r="D547" s="2" t="s">
        <v>193</v>
      </c>
      <c r="E547" s="2" t="s">
        <v>67</v>
      </c>
      <c r="F547" s="2" t="s">
        <v>3264</v>
      </c>
      <c r="G547" s="2" t="s">
        <v>3265</v>
      </c>
      <c r="H547" s="2" t="s">
        <v>3266</v>
      </c>
      <c r="I547" s="2" t="s">
        <v>3267</v>
      </c>
      <c r="J547" s="2" t="s">
        <v>25</v>
      </c>
      <c r="K547" s="2"/>
      <c r="L547" s="2" t="s">
        <v>3268</v>
      </c>
      <c r="M547" s="2" t="s">
        <v>27</v>
      </c>
      <c r="N547" s="2" t="s">
        <v>3269</v>
      </c>
      <c r="O547" s="2" t="s">
        <v>29</v>
      </c>
      <c r="P547" s="2" t="s">
        <v>3270</v>
      </c>
    </row>
    <row r="548" customFormat="false" ht="91" hidden="false" customHeight="false" outlineLevel="0" collapsed="false">
      <c r="A548" s="2" t="s">
        <v>3145</v>
      </c>
      <c r="B548" s="2" t="s">
        <v>17</v>
      </c>
      <c r="C548" s="2" t="s">
        <v>3271</v>
      </c>
      <c r="D548" s="2" t="s">
        <v>193</v>
      </c>
      <c r="E548" s="2" t="s">
        <v>20</v>
      </c>
      <c r="F548" s="2" t="s">
        <v>3272</v>
      </c>
      <c r="G548" s="2" t="s">
        <v>3273</v>
      </c>
      <c r="H548" s="2" t="s">
        <v>1139</v>
      </c>
      <c r="I548" s="2" t="s">
        <v>763</v>
      </c>
      <c r="J548" s="2" t="s">
        <v>44</v>
      </c>
      <c r="K548" s="2"/>
      <c r="L548" s="2" t="s">
        <v>3274</v>
      </c>
      <c r="M548" s="2" t="s">
        <v>27</v>
      </c>
      <c r="N548" s="2" t="s">
        <v>3275</v>
      </c>
      <c r="O548" s="2" t="s">
        <v>29</v>
      </c>
      <c r="P548" s="2" t="s">
        <v>3276</v>
      </c>
    </row>
    <row r="549" customFormat="false" ht="68.65" hidden="false" customHeight="false" outlineLevel="0" collapsed="false">
      <c r="A549" s="2" t="s">
        <v>3145</v>
      </c>
      <c r="B549" s="2" t="s">
        <v>17</v>
      </c>
      <c r="C549" s="2" t="s">
        <v>3277</v>
      </c>
      <c r="D549" s="2" t="s">
        <v>193</v>
      </c>
      <c r="E549" s="2" t="s">
        <v>20</v>
      </c>
      <c r="F549" s="2" t="s">
        <v>3278</v>
      </c>
      <c r="G549" s="2" t="s">
        <v>3279</v>
      </c>
      <c r="H549" s="2" t="s">
        <v>3280</v>
      </c>
      <c r="I549" s="2" t="s">
        <v>36</v>
      </c>
      <c r="J549" s="2" t="s">
        <v>25</v>
      </c>
      <c r="K549" s="2"/>
      <c r="L549" s="2" t="s">
        <v>3281</v>
      </c>
      <c r="M549" s="2" t="s">
        <v>160</v>
      </c>
      <c r="N549" s="2" t="s">
        <v>3282</v>
      </c>
      <c r="O549" s="2" t="s">
        <v>29</v>
      </c>
      <c r="P549" s="2" t="s">
        <v>3283</v>
      </c>
    </row>
    <row r="550" customFormat="false" ht="79.85" hidden="false" customHeight="false" outlineLevel="0" collapsed="false">
      <c r="A550" s="2" t="s">
        <v>3145</v>
      </c>
      <c r="B550" s="2" t="s">
        <v>17</v>
      </c>
      <c r="C550" s="2" t="s">
        <v>3284</v>
      </c>
      <c r="D550" s="2" t="s">
        <v>193</v>
      </c>
      <c r="E550" s="2" t="s">
        <v>20</v>
      </c>
      <c r="F550" s="2" t="s">
        <v>3285</v>
      </c>
      <c r="G550" s="2" t="s">
        <v>3286</v>
      </c>
      <c r="H550" s="2" t="s">
        <v>3287</v>
      </c>
      <c r="I550" s="2" t="s">
        <v>496</v>
      </c>
      <c r="J550" s="2" t="s">
        <v>44</v>
      </c>
      <c r="K550" s="2"/>
      <c r="L550" s="2" t="s">
        <v>3288</v>
      </c>
      <c r="M550" s="2" t="s">
        <v>27</v>
      </c>
      <c r="N550" s="2" t="s">
        <v>3289</v>
      </c>
      <c r="O550" s="2" t="s">
        <v>29</v>
      </c>
      <c r="P550" s="2" t="s">
        <v>215</v>
      </c>
    </row>
    <row r="551" customFormat="false" ht="91" hidden="false" customHeight="false" outlineLevel="0" collapsed="false">
      <c r="A551" s="2" t="s">
        <v>3145</v>
      </c>
      <c r="B551" s="2" t="s">
        <v>17</v>
      </c>
      <c r="C551" s="2" t="s">
        <v>3290</v>
      </c>
      <c r="D551" s="2" t="s">
        <v>193</v>
      </c>
      <c r="E551" s="2" t="s">
        <v>20</v>
      </c>
      <c r="F551" s="2" t="s">
        <v>3291</v>
      </c>
      <c r="G551" s="2" t="s">
        <v>3292</v>
      </c>
      <c r="H551" s="2" t="s">
        <v>3293</v>
      </c>
      <c r="I551" s="2" t="s">
        <v>438</v>
      </c>
      <c r="J551" s="2" t="s">
        <v>44</v>
      </c>
      <c r="K551" s="2" t="s">
        <v>2962</v>
      </c>
      <c r="L551" s="2" t="s">
        <v>740</v>
      </c>
      <c r="M551" s="2" t="s">
        <v>46</v>
      </c>
      <c r="N551" s="2" t="s">
        <v>3294</v>
      </c>
      <c r="O551" s="2" t="s">
        <v>29</v>
      </c>
      <c r="P551" s="2" t="s">
        <v>3295</v>
      </c>
    </row>
    <row r="552" customFormat="false" ht="79.85" hidden="false" customHeight="false" outlineLevel="0" collapsed="false">
      <c r="A552" s="2" t="s">
        <v>3145</v>
      </c>
      <c r="B552" s="2" t="s">
        <v>17</v>
      </c>
      <c r="C552" s="2" t="s">
        <v>3296</v>
      </c>
      <c r="D552" s="2" t="s">
        <v>193</v>
      </c>
      <c r="E552" s="2" t="s">
        <v>20</v>
      </c>
      <c r="F552" s="2" t="s">
        <v>3297</v>
      </c>
      <c r="G552" s="2" t="s">
        <v>3298</v>
      </c>
      <c r="H552" s="2" t="s">
        <v>1139</v>
      </c>
      <c r="I552" s="2" t="s">
        <v>1753</v>
      </c>
      <c r="J552" s="2" t="s">
        <v>44</v>
      </c>
      <c r="K552" s="2"/>
      <c r="L552" s="2" t="s">
        <v>3299</v>
      </c>
      <c r="M552" s="2" t="s">
        <v>27</v>
      </c>
      <c r="N552" s="2" t="s">
        <v>3300</v>
      </c>
      <c r="O552" s="2" t="s">
        <v>29</v>
      </c>
      <c r="P552" s="2" t="s">
        <v>3301</v>
      </c>
    </row>
    <row r="553" customFormat="false" ht="135.8" hidden="false" customHeight="false" outlineLevel="0" collapsed="false">
      <c r="A553" s="2" t="s">
        <v>3145</v>
      </c>
      <c r="B553" s="2" t="s">
        <v>31</v>
      </c>
      <c r="C553" s="2" t="s">
        <v>3302</v>
      </c>
      <c r="D553" s="2" t="s">
        <v>193</v>
      </c>
      <c r="E553" s="2" t="s">
        <v>20</v>
      </c>
      <c r="F553" s="2" t="s">
        <v>3303</v>
      </c>
      <c r="G553" s="2" t="s">
        <v>3304</v>
      </c>
      <c r="H553" s="2" t="s">
        <v>2523</v>
      </c>
      <c r="I553" s="2" t="s">
        <v>226</v>
      </c>
      <c r="J553" s="2" t="s">
        <v>44</v>
      </c>
      <c r="K553" s="2"/>
      <c r="L553" s="2" t="s">
        <v>3281</v>
      </c>
      <c r="M553" s="2" t="s">
        <v>160</v>
      </c>
      <c r="N553" s="2" t="s">
        <v>3305</v>
      </c>
      <c r="O553" s="2" t="s">
        <v>29</v>
      </c>
      <c r="P553" s="2" t="s">
        <v>3306</v>
      </c>
    </row>
    <row r="554" customFormat="false" ht="57.45" hidden="false" customHeight="false" outlineLevel="0" collapsed="false">
      <c r="A554" s="2" t="s">
        <v>3145</v>
      </c>
      <c r="B554" s="2" t="s">
        <v>31</v>
      </c>
      <c r="C554" s="2" t="s">
        <v>3307</v>
      </c>
      <c r="D554" s="2" t="s">
        <v>193</v>
      </c>
      <c r="E554" s="2" t="s">
        <v>20</v>
      </c>
      <c r="F554" s="2" t="s">
        <v>3308</v>
      </c>
      <c r="G554" s="2" t="s">
        <v>3309</v>
      </c>
      <c r="H554" s="2" t="s">
        <v>3310</v>
      </c>
      <c r="I554" s="2" t="s">
        <v>226</v>
      </c>
      <c r="J554" s="2" t="s">
        <v>44</v>
      </c>
      <c r="K554" s="2"/>
      <c r="L554" s="2" t="s">
        <v>3311</v>
      </c>
      <c r="M554" s="2" t="s">
        <v>46</v>
      </c>
      <c r="N554" s="2" t="s">
        <v>3312</v>
      </c>
      <c r="O554" s="2" t="s">
        <v>29</v>
      </c>
      <c r="P554" s="2" t="s">
        <v>3313</v>
      </c>
    </row>
    <row r="555" customFormat="false" ht="91" hidden="false" customHeight="false" outlineLevel="0" collapsed="false">
      <c r="A555" s="2" t="s">
        <v>3145</v>
      </c>
      <c r="B555" s="2" t="s">
        <v>17</v>
      </c>
      <c r="C555" s="2" t="s">
        <v>3314</v>
      </c>
      <c r="D555" s="2" t="s">
        <v>193</v>
      </c>
      <c r="E555" s="2" t="s">
        <v>20</v>
      </c>
      <c r="F555" s="2" t="s">
        <v>3315</v>
      </c>
      <c r="G555" s="2" t="s">
        <v>3316</v>
      </c>
      <c r="H555" s="2" t="s">
        <v>3317</v>
      </c>
      <c r="I555" s="2" t="s">
        <v>36</v>
      </c>
      <c r="J555" s="2" t="s">
        <v>44</v>
      </c>
      <c r="K555" s="2"/>
      <c r="L555" s="2" t="s">
        <v>3318</v>
      </c>
      <c r="M555" s="2" t="s">
        <v>46</v>
      </c>
      <c r="N555" s="2" t="s">
        <v>3319</v>
      </c>
      <c r="O555" s="2" t="s">
        <v>29</v>
      </c>
      <c r="P555" s="2" t="s">
        <v>3320</v>
      </c>
    </row>
    <row r="556" customFormat="false" ht="79.85" hidden="false" customHeight="false" outlineLevel="0" collapsed="false">
      <c r="A556" s="2" t="s">
        <v>3145</v>
      </c>
      <c r="B556" s="2" t="s">
        <v>17</v>
      </c>
      <c r="C556" s="2" t="s">
        <v>237</v>
      </c>
      <c r="D556" s="2" t="s">
        <v>193</v>
      </c>
      <c r="E556" s="2" t="s">
        <v>20</v>
      </c>
      <c r="F556" s="2" t="s">
        <v>3321</v>
      </c>
      <c r="G556" s="2" t="s">
        <v>3322</v>
      </c>
      <c r="H556" s="2" t="s">
        <v>1139</v>
      </c>
      <c r="I556" s="2" t="s">
        <v>226</v>
      </c>
      <c r="J556" s="2" t="s">
        <v>44</v>
      </c>
      <c r="K556" s="2"/>
      <c r="L556" s="2" t="s">
        <v>3323</v>
      </c>
      <c r="M556" s="2" t="s">
        <v>27</v>
      </c>
      <c r="N556" s="2" t="s">
        <v>3324</v>
      </c>
      <c r="O556" s="2" t="s">
        <v>29</v>
      </c>
      <c r="P556" s="2" t="s">
        <v>215</v>
      </c>
    </row>
    <row r="557" customFormat="false" ht="79.85" hidden="false" customHeight="false" outlineLevel="0" collapsed="false">
      <c r="A557" s="2" t="s">
        <v>3145</v>
      </c>
      <c r="B557" s="2" t="s">
        <v>17</v>
      </c>
      <c r="C557" s="2" t="s">
        <v>3325</v>
      </c>
      <c r="D557" s="2" t="s">
        <v>193</v>
      </c>
      <c r="E557" s="2" t="s">
        <v>20</v>
      </c>
      <c r="F557" s="2" t="s">
        <v>3326</v>
      </c>
      <c r="G557" s="2" t="s">
        <v>3327</v>
      </c>
      <c r="H557" s="2" t="s">
        <v>3328</v>
      </c>
      <c r="I557" s="2" t="s">
        <v>3329</v>
      </c>
      <c r="J557" s="2" t="s">
        <v>44</v>
      </c>
      <c r="K557" s="2"/>
      <c r="L557" s="2" t="s">
        <v>3330</v>
      </c>
      <c r="M557" s="2" t="s">
        <v>46</v>
      </c>
      <c r="N557" s="2" t="s">
        <v>3331</v>
      </c>
      <c r="O557" s="2" t="s">
        <v>29</v>
      </c>
      <c r="P557" s="2" t="s">
        <v>215</v>
      </c>
    </row>
    <row r="558" customFormat="false" ht="91" hidden="false" customHeight="false" outlineLevel="0" collapsed="false">
      <c r="A558" s="2" t="s">
        <v>3145</v>
      </c>
      <c r="B558" s="2" t="s">
        <v>17</v>
      </c>
      <c r="C558" s="2" t="s">
        <v>3332</v>
      </c>
      <c r="D558" s="2" t="s">
        <v>193</v>
      </c>
      <c r="E558" s="2" t="s">
        <v>20</v>
      </c>
      <c r="F558" s="2" t="s">
        <v>3333</v>
      </c>
      <c r="G558" s="2" t="s">
        <v>3334</v>
      </c>
      <c r="H558" s="2" t="s">
        <v>1139</v>
      </c>
      <c r="I558" s="2" t="s">
        <v>738</v>
      </c>
      <c r="J558" s="2" t="s">
        <v>44</v>
      </c>
      <c r="K558" s="2"/>
      <c r="L558" s="2" t="s">
        <v>3335</v>
      </c>
      <c r="M558" s="2" t="s">
        <v>27</v>
      </c>
      <c r="N558" s="2" t="s">
        <v>3336</v>
      </c>
      <c r="O558" s="2" t="s">
        <v>29</v>
      </c>
      <c r="P558" s="2" t="s">
        <v>3337</v>
      </c>
    </row>
    <row r="559" customFormat="false" ht="91" hidden="false" customHeight="false" outlineLevel="0" collapsed="false">
      <c r="A559" s="2" t="s">
        <v>3145</v>
      </c>
      <c r="B559" s="2" t="s">
        <v>17</v>
      </c>
      <c r="C559" s="2" t="s">
        <v>3338</v>
      </c>
      <c r="D559" s="2" t="s">
        <v>193</v>
      </c>
      <c r="E559" s="2" t="s">
        <v>20</v>
      </c>
      <c r="F559" s="2" t="s">
        <v>3339</v>
      </c>
      <c r="G559" s="2" t="s">
        <v>3340</v>
      </c>
      <c r="H559" s="2" t="s">
        <v>1139</v>
      </c>
      <c r="I559" s="2" t="s">
        <v>3341</v>
      </c>
      <c r="J559" s="2" t="s">
        <v>44</v>
      </c>
      <c r="K559" s="2"/>
      <c r="L559" s="2" t="s">
        <v>3281</v>
      </c>
      <c r="M559" s="2" t="s">
        <v>160</v>
      </c>
      <c r="N559" s="2" t="s">
        <v>3342</v>
      </c>
      <c r="O559" s="2" t="s">
        <v>29</v>
      </c>
      <c r="P559" s="2" t="s">
        <v>3343</v>
      </c>
    </row>
    <row r="560" customFormat="false" ht="68.65" hidden="false" customHeight="false" outlineLevel="0" collapsed="false">
      <c r="A560" s="2" t="s">
        <v>3145</v>
      </c>
      <c r="B560" s="2" t="s">
        <v>17</v>
      </c>
      <c r="C560" s="2" t="s">
        <v>3344</v>
      </c>
      <c r="D560" s="2" t="s">
        <v>247</v>
      </c>
      <c r="E560" s="2" t="s">
        <v>20</v>
      </c>
      <c r="F560" s="2" t="s">
        <v>3345</v>
      </c>
      <c r="G560" s="2" t="s">
        <v>3346</v>
      </c>
      <c r="H560" s="2" t="s">
        <v>3347</v>
      </c>
      <c r="I560" s="2" t="s">
        <v>3348</v>
      </c>
      <c r="J560" s="2" t="s">
        <v>25</v>
      </c>
      <c r="K560" s="2"/>
      <c r="L560" s="2" t="s">
        <v>3349</v>
      </c>
      <c r="M560" s="2" t="s">
        <v>27</v>
      </c>
      <c r="N560" s="2" t="s">
        <v>3350</v>
      </c>
      <c r="O560" s="2" t="s">
        <v>29</v>
      </c>
      <c r="P560" s="2" t="s">
        <v>3351</v>
      </c>
    </row>
    <row r="561" customFormat="false" ht="102.2" hidden="false" customHeight="false" outlineLevel="0" collapsed="false">
      <c r="A561" s="2" t="s">
        <v>3145</v>
      </c>
      <c r="B561" s="2" t="s">
        <v>31</v>
      </c>
      <c r="C561" s="2" t="s">
        <v>3352</v>
      </c>
      <c r="D561" s="2" t="s">
        <v>247</v>
      </c>
      <c r="E561" s="2" t="s">
        <v>67</v>
      </c>
      <c r="F561" s="2" t="s">
        <v>3353</v>
      </c>
      <c r="G561" s="2" t="s">
        <v>3354</v>
      </c>
      <c r="H561" s="2" t="s">
        <v>503</v>
      </c>
      <c r="I561" s="2" t="s">
        <v>226</v>
      </c>
      <c r="J561" s="2" t="s">
        <v>92</v>
      </c>
      <c r="K561" s="2"/>
      <c r="L561" s="2" t="s">
        <v>3355</v>
      </c>
      <c r="M561" s="2" t="s">
        <v>27</v>
      </c>
      <c r="N561" s="2" t="s">
        <v>3356</v>
      </c>
      <c r="O561" s="2" t="s">
        <v>29</v>
      </c>
      <c r="P561" s="2" t="s">
        <v>3357</v>
      </c>
    </row>
    <row r="562" customFormat="false" ht="102.2" hidden="false" customHeight="false" outlineLevel="0" collapsed="false">
      <c r="A562" s="2" t="s">
        <v>3145</v>
      </c>
      <c r="B562" s="2" t="s">
        <v>254</v>
      </c>
      <c r="C562" s="2" t="s">
        <v>3358</v>
      </c>
      <c r="D562" s="2" t="s">
        <v>247</v>
      </c>
      <c r="E562" s="2" t="s">
        <v>67</v>
      </c>
      <c r="F562" s="2" t="s">
        <v>3359</v>
      </c>
      <c r="G562" s="2" t="s">
        <v>3360</v>
      </c>
      <c r="H562" s="2" t="s">
        <v>3361</v>
      </c>
      <c r="I562" s="2" t="s">
        <v>3362</v>
      </c>
      <c r="J562" s="2" t="s">
        <v>25</v>
      </c>
      <c r="K562" s="2"/>
      <c r="L562" s="2" t="s">
        <v>3363</v>
      </c>
      <c r="M562" s="2" t="s">
        <v>27</v>
      </c>
      <c r="N562" s="2" t="s">
        <v>3364</v>
      </c>
      <c r="O562" s="2" t="s">
        <v>29</v>
      </c>
      <c r="P562" s="2" t="s">
        <v>3365</v>
      </c>
    </row>
    <row r="563" customFormat="false" ht="79.85" hidden="false" customHeight="false" outlineLevel="0" collapsed="false">
      <c r="A563" s="2" t="s">
        <v>3145</v>
      </c>
      <c r="B563" s="2" t="s">
        <v>31</v>
      </c>
      <c r="C563" s="2" t="s">
        <v>3366</v>
      </c>
      <c r="D563" s="2" t="s">
        <v>247</v>
      </c>
      <c r="E563" s="2" t="s">
        <v>20</v>
      </c>
      <c r="F563" s="2" t="s">
        <v>3367</v>
      </c>
      <c r="G563" s="2" t="s">
        <v>3368</v>
      </c>
      <c r="H563" s="2" t="s">
        <v>451</v>
      </c>
      <c r="I563" s="2" t="s">
        <v>36</v>
      </c>
      <c r="J563" s="2" t="s">
        <v>25</v>
      </c>
      <c r="K563" s="2"/>
      <c r="L563" s="2" t="s">
        <v>3369</v>
      </c>
      <c r="M563" s="2" t="s">
        <v>27</v>
      </c>
      <c r="N563" s="2" t="s">
        <v>3370</v>
      </c>
      <c r="O563" s="2" t="s">
        <v>29</v>
      </c>
      <c r="P563" s="2" t="s">
        <v>3371</v>
      </c>
    </row>
    <row r="564" customFormat="false" ht="147" hidden="false" customHeight="false" outlineLevel="0" collapsed="false">
      <c r="A564" s="2" t="s">
        <v>3145</v>
      </c>
      <c r="B564" s="2" t="s">
        <v>17</v>
      </c>
      <c r="C564" s="2" t="s">
        <v>3372</v>
      </c>
      <c r="D564" s="2" t="s">
        <v>247</v>
      </c>
      <c r="E564" s="2" t="s">
        <v>140</v>
      </c>
      <c r="F564" s="2" t="s">
        <v>3373</v>
      </c>
      <c r="G564" s="2" t="s">
        <v>3374</v>
      </c>
      <c r="H564" s="2" t="s">
        <v>3375</v>
      </c>
      <c r="I564" s="2" t="s">
        <v>2609</v>
      </c>
      <c r="J564" s="2" t="s">
        <v>44</v>
      </c>
      <c r="K564" s="2"/>
      <c r="L564" s="2" t="s">
        <v>3162</v>
      </c>
      <c r="M564" s="2" t="s">
        <v>46</v>
      </c>
      <c r="N564" s="2" t="s">
        <v>3376</v>
      </c>
      <c r="O564" s="2" t="s">
        <v>29</v>
      </c>
      <c r="P564" s="2" t="s">
        <v>3377</v>
      </c>
    </row>
    <row r="565" customFormat="false" ht="124.6" hidden="false" customHeight="false" outlineLevel="0" collapsed="false">
      <c r="A565" s="2" t="s">
        <v>3145</v>
      </c>
      <c r="B565" s="2" t="s">
        <v>288</v>
      </c>
      <c r="C565" s="2" t="s">
        <v>3378</v>
      </c>
      <c r="D565" s="2" t="s">
        <v>247</v>
      </c>
      <c r="E565" s="2" t="s">
        <v>20</v>
      </c>
      <c r="F565" s="2" t="s">
        <v>3379</v>
      </c>
      <c r="G565" s="2" t="s">
        <v>3380</v>
      </c>
      <c r="H565" s="2" t="s">
        <v>3381</v>
      </c>
      <c r="I565" s="2" t="s">
        <v>3382</v>
      </c>
      <c r="J565" s="2" t="s">
        <v>25</v>
      </c>
      <c r="K565" s="2" t="s">
        <v>3383</v>
      </c>
      <c r="L565" s="2" t="s">
        <v>3384</v>
      </c>
      <c r="M565" s="2" t="s">
        <v>160</v>
      </c>
      <c r="N565" s="2" t="s">
        <v>3385</v>
      </c>
      <c r="O565" s="2" t="s">
        <v>29</v>
      </c>
      <c r="P565" s="2" t="s">
        <v>3386</v>
      </c>
    </row>
    <row r="566" customFormat="false" ht="180.55" hidden="false" customHeight="false" outlineLevel="0" collapsed="false">
      <c r="A566" s="2" t="s">
        <v>3145</v>
      </c>
      <c r="B566" s="2" t="s">
        <v>17</v>
      </c>
      <c r="C566" s="2" t="s">
        <v>3387</v>
      </c>
      <c r="D566" s="2" t="s">
        <v>247</v>
      </c>
      <c r="E566" s="2" t="s">
        <v>67</v>
      </c>
      <c r="F566" s="2" t="s">
        <v>3388</v>
      </c>
      <c r="G566" s="2" t="s">
        <v>3389</v>
      </c>
      <c r="H566" s="2" t="s">
        <v>3390</v>
      </c>
      <c r="I566" s="2" t="s">
        <v>226</v>
      </c>
      <c r="J566" s="2" t="s">
        <v>44</v>
      </c>
      <c r="K566" s="2"/>
      <c r="L566" s="2" t="s">
        <v>3391</v>
      </c>
      <c r="M566" s="2" t="s">
        <v>27</v>
      </c>
      <c r="N566" s="2" t="s">
        <v>3392</v>
      </c>
      <c r="O566" s="2" t="s">
        <v>29</v>
      </c>
      <c r="P566" s="2" t="s">
        <v>3393</v>
      </c>
    </row>
    <row r="567" customFormat="false" ht="91" hidden="false" customHeight="false" outlineLevel="0" collapsed="false">
      <c r="A567" s="2" t="s">
        <v>3145</v>
      </c>
      <c r="B567" s="2" t="s">
        <v>254</v>
      </c>
      <c r="C567" s="2" t="s">
        <v>3394</v>
      </c>
      <c r="D567" s="2" t="s">
        <v>247</v>
      </c>
      <c r="E567" s="2" t="s">
        <v>67</v>
      </c>
      <c r="F567" s="2" t="s">
        <v>3395</v>
      </c>
      <c r="G567" s="2" t="s">
        <v>3396</v>
      </c>
      <c r="H567" s="2" t="s">
        <v>258</v>
      </c>
      <c r="I567" s="2" t="s">
        <v>3397</v>
      </c>
      <c r="J567" s="2" t="s">
        <v>25</v>
      </c>
      <c r="K567" s="2"/>
      <c r="L567" s="2" t="s">
        <v>2616</v>
      </c>
      <c r="M567" s="2" t="s">
        <v>46</v>
      </c>
      <c r="N567" s="2" t="s">
        <v>3398</v>
      </c>
      <c r="O567" s="2" t="s">
        <v>29</v>
      </c>
      <c r="P567" s="2" t="s">
        <v>3399</v>
      </c>
    </row>
    <row r="568" customFormat="false" ht="91" hidden="false" customHeight="false" outlineLevel="0" collapsed="false">
      <c r="A568" s="2" t="s">
        <v>3145</v>
      </c>
      <c r="B568" s="2" t="s">
        <v>17</v>
      </c>
      <c r="C568" s="2" t="s">
        <v>3400</v>
      </c>
      <c r="D568" s="2" t="s">
        <v>247</v>
      </c>
      <c r="E568" s="2" t="s">
        <v>20</v>
      </c>
      <c r="F568" s="2" t="s">
        <v>3401</v>
      </c>
      <c r="G568" s="2" t="s">
        <v>3402</v>
      </c>
      <c r="H568" s="2" t="s">
        <v>3403</v>
      </c>
      <c r="I568" s="2" t="s">
        <v>3183</v>
      </c>
      <c r="J568" s="2" t="s">
        <v>25</v>
      </c>
      <c r="K568" s="2"/>
      <c r="L568" s="2" t="s">
        <v>3404</v>
      </c>
      <c r="M568" s="2" t="s">
        <v>46</v>
      </c>
      <c r="N568" s="2" t="s">
        <v>3405</v>
      </c>
      <c r="O568" s="2" t="s">
        <v>29</v>
      </c>
      <c r="P568" s="2" t="s">
        <v>3406</v>
      </c>
    </row>
    <row r="569" customFormat="false" ht="46.25" hidden="false" customHeight="false" outlineLevel="0" collapsed="false">
      <c r="A569" s="2" t="s">
        <v>3145</v>
      </c>
      <c r="B569" s="2" t="s">
        <v>31</v>
      </c>
      <c r="C569" s="2" t="s">
        <v>3407</v>
      </c>
      <c r="D569" s="2" t="s">
        <v>247</v>
      </c>
      <c r="E569" s="2" t="s">
        <v>20</v>
      </c>
      <c r="F569" s="2" t="s">
        <v>3408</v>
      </c>
      <c r="G569" s="2" t="s">
        <v>3409</v>
      </c>
      <c r="H569" s="2" t="s">
        <v>451</v>
      </c>
      <c r="I569" s="2" t="s">
        <v>36</v>
      </c>
      <c r="J569" s="2" t="s">
        <v>25</v>
      </c>
      <c r="K569" s="2"/>
      <c r="L569" s="2" t="s">
        <v>3410</v>
      </c>
      <c r="M569" s="2" t="s">
        <v>27</v>
      </c>
      <c r="N569" s="2" t="s">
        <v>3411</v>
      </c>
      <c r="O569" s="2" t="s">
        <v>29</v>
      </c>
      <c r="P569" s="2" t="s">
        <v>3412</v>
      </c>
    </row>
    <row r="570" customFormat="false" ht="68.65" hidden="false" customHeight="false" outlineLevel="0" collapsed="false">
      <c r="A570" s="2" t="s">
        <v>3145</v>
      </c>
      <c r="B570" s="2" t="s">
        <v>31</v>
      </c>
      <c r="C570" s="2" t="s">
        <v>3413</v>
      </c>
      <c r="D570" s="2" t="s">
        <v>247</v>
      </c>
      <c r="E570" s="2" t="s">
        <v>20</v>
      </c>
      <c r="F570" s="2" t="s">
        <v>3414</v>
      </c>
      <c r="G570" s="2" t="s">
        <v>3415</v>
      </c>
      <c r="H570" s="2" t="s">
        <v>451</v>
      </c>
      <c r="I570" s="2" t="s">
        <v>405</v>
      </c>
      <c r="J570" s="2" t="s">
        <v>25</v>
      </c>
      <c r="K570" s="2"/>
      <c r="L570" s="2" t="s">
        <v>3416</v>
      </c>
      <c r="M570" s="2" t="s">
        <v>27</v>
      </c>
      <c r="N570" s="2" t="s">
        <v>3417</v>
      </c>
      <c r="O570" s="2" t="s">
        <v>29</v>
      </c>
      <c r="P570" s="2" t="s">
        <v>3418</v>
      </c>
    </row>
    <row r="571" customFormat="false" ht="68.65" hidden="false" customHeight="false" outlineLevel="0" collapsed="false">
      <c r="A571" s="2" t="s">
        <v>3145</v>
      </c>
      <c r="B571" s="2" t="s">
        <v>288</v>
      </c>
      <c r="C571" s="2" t="s">
        <v>3419</v>
      </c>
      <c r="D571" s="2" t="s">
        <v>247</v>
      </c>
      <c r="E571" s="2" t="s">
        <v>67</v>
      </c>
      <c r="F571" s="2" t="s">
        <v>3420</v>
      </c>
      <c r="G571" s="2" t="s">
        <v>3421</v>
      </c>
      <c r="H571" s="2" t="s">
        <v>240</v>
      </c>
      <c r="I571" s="2" t="s">
        <v>405</v>
      </c>
      <c r="J571" s="2" t="s">
        <v>25</v>
      </c>
      <c r="K571" s="2"/>
      <c r="L571" s="2" t="s">
        <v>3422</v>
      </c>
      <c r="M571" s="2" t="s">
        <v>27</v>
      </c>
      <c r="N571" s="2" t="s">
        <v>3423</v>
      </c>
      <c r="O571" s="2" t="s">
        <v>29</v>
      </c>
      <c r="P571" s="2" t="s">
        <v>3424</v>
      </c>
    </row>
    <row r="572" customFormat="false" ht="57.45" hidden="false" customHeight="false" outlineLevel="0" collapsed="false">
      <c r="A572" s="2" t="s">
        <v>3145</v>
      </c>
      <c r="B572" s="2" t="s">
        <v>169</v>
      </c>
      <c r="C572" s="2" t="s">
        <v>3425</v>
      </c>
      <c r="D572" s="2" t="s">
        <v>320</v>
      </c>
      <c r="E572" s="2" t="s">
        <v>20</v>
      </c>
      <c r="F572" s="2" t="s">
        <v>3426</v>
      </c>
      <c r="G572" s="2" t="s">
        <v>3427</v>
      </c>
      <c r="H572" s="2" t="s">
        <v>2098</v>
      </c>
      <c r="I572" s="2" t="s">
        <v>345</v>
      </c>
      <c r="J572" s="2" t="s">
        <v>346</v>
      </c>
      <c r="K572" s="2"/>
      <c r="L572" s="2" t="s">
        <v>1057</v>
      </c>
      <c r="M572" s="2" t="s">
        <v>1058</v>
      </c>
      <c r="N572" s="2" t="s">
        <v>1059</v>
      </c>
      <c r="O572" s="2" t="s">
        <v>29</v>
      </c>
      <c r="P572" s="2" t="s">
        <v>3428</v>
      </c>
    </row>
    <row r="573" customFormat="false" ht="57.45" hidden="false" customHeight="false" outlineLevel="0" collapsed="false">
      <c r="A573" s="2" t="s">
        <v>3145</v>
      </c>
      <c r="B573" s="2" t="s">
        <v>65</v>
      </c>
      <c r="C573" s="2" t="s">
        <v>3429</v>
      </c>
      <c r="D573" s="2" t="s">
        <v>320</v>
      </c>
      <c r="E573" s="2" t="s">
        <v>20</v>
      </c>
      <c r="F573" s="2" t="s">
        <v>3430</v>
      </c>
      <c r="G573" s="2" t="s">
        <v>3431</v>
      </c>
      <c r="H573" s="2" t="s">
        <v>3432</v>
      </c>
      <c r="I573" s="2" t="s">
        <v>3199</v>
      </c>
      <c r="J573" s="2" t="s">
        <v>44</v>
      </c>
      <c r="K573" s="2"/>
      <c r="L573" s="2" t="s">
        <v>3433</v>
      </c>
      <c r="M573" s="2" t="s">
        <v>46</v>
      </c>
      <c r="N573" s="2" t="s">
        <v>3434</v>
      </c>
      <c r="O573" s="2" t="s">
        <v>29</v>
      </c>
      <c r="P573" s="2" t="s">
        <v>3435</v>
      </c>
    </row>
    <row r="574" customFormat="false" ht="57.45" hidden="false" customHeight="false" outlineLevel="0" collapsed="false">
      <c r="A574" s="2" t="s">
        <v>3145</v>
      </c>
      <c r="B574" s="2" t="s">
        <v>17</v>
      </c>
      <c r="C574" s="2" t="s">
        <v>3436</v>
      </c>
      <c r="D574" s="2" t="s">
        <v>320</v>
      </c>
      <c r="E574" s="2" t="s">
        <v>20</v>
      </c>
      <c r="F574" s="2" t="s">
        <v>3437</v>
      </c>
      <c r="G574" s="2" t="s">
        <v>3438</v>
      </c>
      <c r="H574" s="2" t="s">
        <v>3439</v>
      </c>
      <c r="I574" s="2" t="s">
        <v>226</v>
      </c>
      <c r="J574" s="2" t="s">
        <v>44</v>
      </c>
      <c r="K574" s="2"/>
      <c r="L574" s="2" t="s">
        <v>3440</v>
      </c>
      <c r="M574" s="2" t="s">
        <v>160</v>
      </c>
      <c r="N574" s="2" t="s">
        <v>3441</v>
      </c>
      <c r="O574" s="2" t="s">
        <v>29</v>
      </c>
      <c r="P574" s="2" t="s">
        <v>3442</v>
      </c>
    </row>
    <row r="575" customFormat="false" ht="57.45" hidden="false" customHeight="false" outlineLevel="0" collapsed="false">
      <c r="A575" s="2" t="s">
        <v>3145</v>
      </c>
      <c r="B575" s="2" t="s">
        <v>65</v>
      </c>
      <c r="C575" s="2" t="s">
        <v>3429</v>
      </c>
      <c r="D575" s="2" t="s">
        <v>320</v>
      </c>
      <c r="E575" s="2" t="s">
        <v>20</v>
      </c>
      <c r="F575" s="2" t="s">
        <v>3443</v>
      </c>
      <c r="G575" s="2" t="s">
        <v>3444</v>
      </c>
      <c r="H575" s="2" t="s">
        <v>3432</v>
      </c>
      <c r="I575" s="2" t="s">
        <v>3445</v>
      </c>
      <c r="J575" s="2" t="s">
        <v>44</v>
      </c>
      <c r="K575" s="2"/>
      <c r="L575" s="2" t="s">
        <v>3446</v>
      </c>
      <c r="M575" s="2" t="s">
        <v>46</v>
      </c>
      <c r="N575" s="2" t="s">
        <v>3447</v>
      </c>
      <c r="O575" s="2" t="s">
        <v>29</v>
      </c>
      <c r="P575" s="2" t="s">
        <v>3448</v>
      </c>
    </row>
    <row r="576" customFormat="false" ht="57.45" hidden="false" customHeight="false" outlineLevel="0" collapsed="false">
      <c r="A576" s="2" t="s">
        <v>3145</v>
      </c>
      <c r="B576" s="2" t="s">
        <v>17</v>
      </c>
      <c r="C576" s="2" t="s">
        <v>3449</v>
      </c>
      <c r="D576" s="2" t="s">
        <v>320</v>
      </c>
      <c r="E576" s="2" t="s">
        <v>20</v>
      </c>
      <c r="F576" s="2" t="s">
        <v>3450</v>
      </c>
      <c r="G576" s="2" t="s">
        <v>3451</v>
      </c>
      <c r="H576" s="2" t="s">
        <v>3432</v>
      </c>
      <c r="I576" s="2" t="s">
        <v>542</v>
      </c>
      <c r="J576" s="2" t="s">
        <v>44</v>
      </c>
      <c r="K576" s="2"/>
      <c r="L576" s="2" t="s">
        <v>3452</v>
      </c>
      <c r="M576" s="2" t="s">
        <v>46</v>
      </c>
      <c r="N576" s="2" t="s">
        <v>3453</v>
      </c>
      <c r="O576" s="2" t="s">
        <v>29</v>
      </c>
      <c r="P576" s="2" t="s">
        <v>3454</v>
      </c>
    </row>
    <row r="577" customFormat="false" ht="79.85" hidden="false" customHeight="false" outlineLevel="0" collapsed="false">
      <c r="A577" s="2" t="s">
        <v>3145</v>
      </c>
      <c r="B577" s="2" t="s">
        <v>17</v>
      </c>
      <c r="C577" s="2" t="s">
        <v>3455</v>
      </c>
      <c r="D577" s="2" t="s">
        <v>320</v>
      </c>
      <c r="E577" s="2" t="s">
        <v>20</v>
      </c>
      <c r="F577" s="2" t="s">
        <v>3456</v>
      </c>
      <c r="G577" s="2" t="s">
        <v>3457</v>
      </c>
      <c r="H577" s="2" t="s">
        <v>3458</v>
      </c>
      <c r="I577" s="2" t="s">
        <v>226</v>
      </c>
      <c r="J577" s="2" t="s">
        <v>44</v>
      </c>
      <c r="K577" s="2"/>
      <c r="L577" s="2" t="s">
        <v>3459</v>
      </c>
      <c r="M577" s="2" t="s">
        <v>160</v>
      </c>
      <c r="N577" s="2" t="s">
        <v>3460</v>
      </c>
      <c r="O577" s="2" t="s">
        <v>29</v>
      </c>
      <c r="P577" s="2" t="s">
        <v>3461</v>
      </c>
    </row>
    <row r="578" customFormat="false" ht="79.85" hidden="false" customHeight="false" outlineLevel="0" collapsed="false">
      <c r="A578" s="2" t="s">
        <v>3145</v>
      </c>
      <c r="B578" s="2" t="s">
        <v>17</v>
      </c>
      <c r="C578" s="2" t="s">
        <v>349</v>
      </c>
      <c r="D578" s="2" t="s">
        <v>320</v>
      </c>
      <c r="E578" s="2" t="s">
        <v>20</v>
      </c>
      <c r="F578" s="2" t="s">
        <v>3462</v>
      </c>
      <c r="G578" s="2" t="s">
        <v>3463</v>
      </c>
      <c r="H578" s="2" t="s">
        <v>3464</v>
      </c>
      <c r="I578" s="2" t="s">
        <v>738</v>
      </c>
      <c r="J578" s="2" t="s">
        <v>118</v>
      </c>
      <c r="K578" s="2"/>
      <c r="L578" s="2" t="s">
        <v>120</v>
      </c>
      <c r="M578" s="2" t="s">
        <v>121</v>
      </c>
      <c r="N578" s="2" t="s">
        <v>3465</v>
      </c>
      <c r="O578" s="2" t="s">
        <v>29</v>
      </c>
      <c r="P578" s="2" t="s">
        <v>3466</v>
      </c>
    </row>
    <row r="579" customFormat="false" ht="359.7" hidden="false" customHeight="false" outlineLevel="0" collapsed="false">
      <c r="A579" s="5" t="s">
        <v>3145</v>
      </c>
      <c r="B579" s="5" t="s">
        <v>17</v>
      </c>
      <c r="C579" s="5" t="s">
        <v>3467</v>
      </c>
      <c r="D579" s="5" t="s">
        <v>320</v>
      </c>
      <c r="E579" s="5" t="s">
        <v>20</v>
      </c>
      <c r="F579" s="5" t="s">
        <v>3468</v>
      </c>
      <c r="G579" s="5" t="s">
        <v>3469</v>
      </c>
      <c r="H579" s="5" t="s">
        <v>1011</v>
      </c>
      <c r="I579" s="5" t="s">
        <v>405</v>
      </c>
      <c r="J579" s="5" t="s">
        <v>92</v>
      </c>
      <c r="K579" s="5"/>
      <c r="L579" s="5" t="s">
        <v>3470</v>
      </c>
      <c r="M579" s="5" t="s">
        <v>243</v>
      </c>
      <c r="N579" s="5" t="s">
        <v>3471</v>
      </c>
      <c r="O579" s="5" t="s">
        <v>3472</v>
      </c>
      <c r="P579" s="5" t="s">
        <v>3473</v>
      </c>
    </row>
    <row r="580" customFormat="false" ht="46.25" hidden="false" customHeight="false" outlineLevel="0" collapsed="false">
      <c r="A580" s="2" t="s">
        <v>3145</v>
      </c>
      <c r="B580" s="2" t="s">
        <v>17</v>
      </c>
      <c r="C580" s="2" t="s">
        <v>327</v>
      </c>
      <c r="D580" s="2" t="s">
        <v>320</v>
      </c>
      <c r="E580" s="2" t="s">
        <v>20</v>
      </c>
      <c r="F580" s="2" t="s">
        <v>3474</v>
      </c>
      <c r="G580" s="2" t="s">
        <v>3475</v>
      </c>
      <c r="H580" s="2" t="s">
        <v>344</v>
      </c>
      <c r="I580" s="2" t="s">
        <v>3476</v>
      </c>
      <c r="J580" s="2" t="s">
        <v>118</v>
      </c>
      <c r="K580" s="2"/>
      <c r="L580" s="2" t="s">
        <v>3477</v>
      </c>
      <c r="M580" s="2" t="s">
        <v>160</v>
      </c>
      <c r="N580" s="2" t="s">
        <v>3478</v>
      </c>
      <c r="O580" s="2" t="s">
        <v>29</v>
      </c>
      <c r="P580" s="2" t="s">
        <v>2112</v>
      </c>
    </row>
    <row r="581" customFormat="false" ht="102.2" hidden="false" customHeight="false" outlineLevel="0" collapsed="false">
      <c r="A581" s="2" t="s">
        <v>3145</v>
      </c>
      <c r="B581" s="2" t="s">
        <v>169</v>
      </c>
      <c r="C581" s="2" t="s">
        <v>3479</v>
      </c>
      <c r="D581" s="2" t="s">
        <v>390</v>
      </c>
      <c r="E581" s="2" t="s">
        <v>20</v>
      </c>
      <c r="F581" s="2" t="s">
        <v>3480</v>
      </c>
      <c r="G581" s="2" t="s">
        <v>3481</v>
      </c>
      <c r="H581" s="2" t="s">
        <v>412</v>
      </c>
      <c r="I581" s="2" t="s">
        <v>1693</v>
      </c>
      <c r="J581" s="2" t="s">
        <v>44</v>
      </c>
      <c r="K581" s="2"/>
      <c r="L581" s="2" t="s">
        <v>3482</v>
      </c>
      <c r="M581" s="2" t="s">
        <v>160</v>
      </c>
      <c r="N581" s="2" t="s">
        <v>3483</v>
      </c>
      <c r="O581" s="2" t="s">
        <v>29</v>
      </c>
      <c r="P581" s="2" t="s">
        <v>3484</v>
      </c>
    </row>
    <row r="582" customFormat="false" ht="68.65" hidden="false" customHeight="false" outlineLevel="0" collapsed="false">
      <c r="A582" s="2" t="s">
        <v>3145</v>
      </c>
      <c r="B582" s="2" t="s">
        <v>31</v>
      </c>
      <c r="C582" s="2" t="s">
        <v>3485</v>
      </c>
      <c r="D582" s="2" t="s">
        <v>390</v>
      </c>
      <c r="E582" s="2" t="s">
        <v>67</v>
      </c>
      <c r="F582" s="2" t="s">
        <v>3486</v>
      </c>
      <c r="G582" s="2" t="s">
        <v>3487</v>
      </c>
      <c r="H582" s="2" t="s">
        <v>3488</v>
      </c>
      <c r="I582" s="2" t="s">
        <v>24</v>
      </c>
      <c r="J582" s="2" t="s">
        <v>44</v>
      </c>
      <c r="K582" s="2"/>
      <c r="L582" s="2" t="s">
        <v>3318</v>
      </c>
      <c r="M582" s="2" t="s">
        <v>46</v>
      </c>
      <c r="N582" s="2" t="s">
        <v>3489</v>
      </c>
      <c r="O582" s="2" t="s">
        <v>29</v>
      </c>
      <c r="P582" s="2" t="s">
        <v>3490</v>
      </c>
    </row>
    <row r="583" customFormat="false" ht="124.6" hidden="false" customHeight="false" outlineLevel="0" collapsed="false">
      <c r="A583" s="2" t="s">
        <v>3145</v>
      </c>
      <c r="B583" s="2" t="s">
        <v>31</v>
      </c>
      <c r="C583" s="2" t="s">
        <v>3491</v>
      </c>
      <c r="D583" s="2" t="s">
        <v>390</v>
      </c>
      <c r="E583" s="2" t="s">
        <v>67</v>
      </c>
      <c r="F583" s="2" t="s">
        <v>3492</v>
      </c>
      <c r="G583" s="2" t="s">
        <v>3493</v>
      </c>
      <c r="H583" s="2" t="s">
        <v>1139</v>
      </c>
      <c r="I583" s="2" t="s">
        <v>3341</v>
      </c>
      <c r="J583" s="2" t="s">
        <v>92</v>
      </c>
      <c r="K583" s="2"/>
      <c r="L583" s="2" t="s">
        <v>3494</v>
      </c>
      <c r="M583" s="2" t="s">
        <v>243</v>
      </c>
      <c r="N583" s="2" t="s">
        <v>3495</v>
      </c>
      <c r="O583" s="2" t="s">
        <v>29</v>
      </c>
      <c r="P583" s="2" t="s">
        <v>3496</v>
      </c>
    </row>
    <row r="584" customFormat="false" ht="113.4" hidden="false" customHeight="false" outlineLevel="0" collapsed="false">
      <c r="A584" s="2" t="s">
        <v>3145</v>
      </c>
      <c r="B584" s="2" t="s">
        <v>31</v>
      </c>
      <c r="C584" s="2" t="s">
        <v>3497</v>
      </c>
      <c r="D584" s="2" t="s">
        <v>390</v>
      </c>
      <c r="E584" s="2" t="s">
        <v>20</v>
      </c>
      <c r="F584" s="2" t="s">
        <v>3498</v>
      </c>
      <c r="G584" s="2" t="s">
        <v>3499</v>
      </c>
      <c r="H584" s="2" t="s">
        <v>503</v>
      </c>
      <c r="I584" s="2" t="s">
        <v>226</v>
      </c>
      <c r="J584" s="2" t="s">
        <v>584</v>
      </c>
      <c r="K584" s="2"/>
      <c r="L584" s="2" t="s">
        <v>3500</v>
      </c>
      <c r="M584" s="2" t="s">
        <v>27</v>
      </c>
      <c r="N584" s="2" t="s">
        <v>3501</v>
      </c>
      <c r="O584" s="2" t="s">
        <v>29</v>
      </c>
      <c r="P584" s="2" t="s">
        <v>3502</v>
      </c>
    </row>
    <row r="585" customFormat="false" ht="124.6" hidden="false" customHeight="false" outlineLevel="0" collapsed="false">
      <c r="A585" s="2" t="s">
        <v>3145</v>
      </c>
      <c r="B585" s="2" t="s">
        <v>31</v>
      </c>
      <c r="C585" s="2" t="s">
        <v>397</v>
      </c>
      <c r="D585" s="2" t="s">
        <v>390</v>
      </c>
      <c r="E585" s="2" t="s">
        <v>20</v>
      </c>
      <c r="F585" s="2" t="s">
        <v>3503</v>
      </c>
      <c r="G585" s="2" t="s">
        <v>3504</v>
      </c>
      <c r="H585" s="2" t="s">
        <v>3505</v>
      </c>
      <c r="I585" s="2" t="s">
        <v>36</v>
      </c>
      <c r="J585" s="2" t="s">
        <v>118</v>
      </c>
      <c r="K585" s="2"/>
      <c r="L585" s="2" t="s">
        <v>120</v>
      </c>
      <c r="M585" s="2" t="s">
        <v>121</v>
      </c>
      <c r="N585" s="2" t="s">
        <v>3465</v>
      </c>
      <c r="O585" s="2" t="s">
        <v>29</v>
      </c>
      <c r="P585" s="2" t="s">
        <v>3506</v>
      </c>
    </row>
    <row r="586" customFormat="false" ht="102.2" hidden="false" customHeight="false" outlineLevel="0" collapsed="false">
      <c r="A586" s="2" t="s">
        <v>3145</v>
      </c>
      <c r="B586" s="2" t="s">
        <v>31</v>
      </c>
      <c r="C586" s="2" t="s">
        <v>493</v>
      </c>
      <c r="D586" s="2" t="s">
        <v>390</v>
      </c>
      <c r="E586" s="2" t="s">
        <v>20</v>
      </c>
      <c r="F586" s="2" t="s">
        <v>3507</v>
      </c>
      <c r="G586" s="2" t="s">
        <v>3508</v>
      </c>
      <c r="H586" s="2" t="s">
        <v>459</v>
      </c>
      <c r="I586" s="2" t="s">
        <v>226</v>
      </c>
      <c r="J586" s="2" t="s">
        <v>44</v>
      </c>
      <c r="K586" s="2"/>
      <c r="L586" s="2" t="s">
        <v>3509</v>
      </c>
      <c r="M586" s="2" t="s">
        <v>27</v>
      </c>
      <c r="N586" s="2" t="s">
        <v>3510</v>
      </c>
      <c r="O586" s="2" t="s">
        <v>29</v>
      </c>
      <c r="P586" s="2" t="s">
        <v>3511</v>
      </c>
    </row>
    <row r="587" customFormat="false" ht="102.2" hidden="false" customHeight="false" outlineLevel="0" collapsed="false">
      <c r="A587" s="2" t="s">
        <v>3145</v>
      </c>
      <c r="B587" s="2" t="s">
        <v>31</v>
      </c>
      <c r="C587" s="2" t="s">
        <v>3491</v>
      </c>
      <c r="D587" s="2" t="s">
        <v>390</v>
      </c>
      <c r="E587" s="2" t="s">
        <v>20</v>
      </c>
      <c r="F587" s="2" t="s">
        <v>3512</v>
      </c>
      <c r="G587" s="2" t="s">
        <v>3513</v>
      </c>
      <c r="H587" s="2" t="s">
        <v>1139</v>
      </c>
      <c r="I587" s="2" t="s">
        <v>226</v>
      </c>
      <c r="J587" s="2" t="s">
        <v>92</v>
      </c>
      <c r="K587" s="2"/>
      <c r="L587" s="2" t="s">
        <v>3494</v>
      </c>
      <c r="M587" s="2" t="s">
        <v>243</v>
      </c>
      <c r="N587" s="2" t="s">
        <v>3514</v>
      </c>
      <c r="O587" s="2" t="s">
        <v>29</v>
      </c>
      <c r="P587" s="2" t="s">
        <v>3515</v>
      </c>
    </row>
    <row r="588" customFormat="false" ht="158.2" hidden="false" customHeight="false" outlineLevel="0" collapsed="false">
      <c r="A588" s="2" t="s">
        <v>3145</v>
      </c>
      <c r="B588" s="2" t="s">
        <v>31</v>
      </c>
      <c r="C588" s="2" t="s">
        <v>493</v>
      </c>
      <c r="D588" s="2" t="s">
        <v>390</v>
      </c>
      <c r="E588" s="2" t="s">
        <v>20</v>
      </c>
      <c r="F588" s="2" t="s">
        <v>3516</v>
      </c>
      <c r="G588" s="2" t="s">
        <v>3517</v>
      </c>
      <c r="H588" s="2" t="s">
        <v>459</v>
      </c>
      <c r="I588" s="2" t="s">
        <v>226</v>
      </c>
      <c r="J588" s="2" t="s">
        <v>44</v>
      </c>
      <c r="K588" s="2"/>
      <c r="L588" s="2" t="s">
        <v>3518</v>
      </c>
      <c r="M588" s="2" t="s">
        <v>27</v>
      </c>
      <c r="N588" s="2" t="s">
        <v>3519</v>
      </c>
      <c r="O588" s="2" t="s">
        <v>29</v>
      </c>
      <c r="P588" s="2" t="s">
        <v>3520</v>
      </c>
    </row>
    <row r="589" customFormat="false" ht="91" hidden="false" customHeight="false" outlineLevel="0" collapsed="false">
      <c r="A589" s="2" t="s">
        <v>3145</v>
      </c>
      <c r="B589" s="2" t="s">
        <v>31</v>
      </c>
      <c r="C589" s="2" t="s">
        <v>493</v>
      </c>
      <c r="D589" s="2" t="s">
        <v>390</v>
      </c>
      <c r="E589" s="2" t="s">
        <v>20</v>
      </c>
      <c r="F589" s="2" t="s">
        <v>3521</v>
      </c>
      <c r="G589" s="2" t="s">
        <v>3522</v>
      </c>
      <c r="H589" s="2" t="s">
        <v>459</v>
      </c>
      <c r="I589" s="2" t="s">
        <v>3341</v>
      </c>
      <c r="J589" s="2" t="s">
        <v>92</v>
      </c>
      <c r="K589" s="2"/>
      <c r="L589" s="2" t="s">
        <v>3523</v>
      </c>
      <c r="M589" s="2" t="s">
        <v>27</v>
      </c>
      <c r="N589" s="2" t="s">
        <v>3524</v>
      </c>
      <c r="O589" s="2" t="s">
        <v>29</v>
      </c>
      <c r="P589" s="2" t="s">
        <v>3525</v>
      </c>
    </row>
    <row r="590" customFormat="false" ht="135.8" hidden="false" customHeight="false" outlineLevel="0" collapsed="false">
      <c r="A590" s="2" t="s">
        <v>3145</v>
      </c>
      <c r="B590" s="2" t="s">
        <v>31</v>
      </c>
      <c r="C590" s="2" t="s">
        <v>3491</v>
      </c>
      <c r="D590" s="2" t="s">
        <v>390</v>
      </c>
      <c r="E590" s="2" t="s">
        <v>20</v>
      </c>
      <c r="F590" s="2" t="s">
        <v>3526</v>
      </c>
      <c r="G590" s="2" t="s">
        <v>3527</v>
      </c>
      <c r="H590" s="2" t="s">
        <v>1139</v>
      </c>
      <c r="I590" s="2" t="s">
        <v>226</v>
      </c>
      <c r="J590" s="2" t="s">
        <v>92</v>
      </c>
      <c r="K590" s="2"/>
      <c r="L590" s="2" t="s">
        <v>3528</v>
      </c>
      <c r="M590" s="2" t="s">
        <v>243</v>
      </c>
      <c r="N590" s="2" t="s">
        <v>3529</v>
      </c>
      <c r="O590" s="2" t="s">
        <v>29</v>
      </c>
      <c r="P590" s="2" t="s">
        <v>3530</v>
      </c>
    </row>
    <row r="591" customFormat="false" ht="91" hidden="false" customHeight="false" outlineLevel="0" collapsed="false">
      <c r="A591" s="2" t="s">
        <v>3145</v>
      </c>
      <c r="B591" s="2" t="s">
        <v>31</v>
      </c>
      <c r="C591" s="2" t="s">
        <v>493</v>
      </c>
      <c r="D591" s="2" t="s">
        <v>390</v>
      </c>
      <c r="E591" s="2" t="s">
        <v>20</v>
      </c>
      <c r="F591" s="2" t="s">
        <v>3531</v>
      </c>
      <c r="G591" s="2" t="s">
        <v>3532</v>
      </c>
      <c r="H591" s="2" t="s">
        <v>459</v>
      </c>
      <c r="I591" s="2" t="s">
        <v>3149</v>
      </c>
      <c r="J591" s="2" t="s">
        <v>44</v>
      </c>
      <c r="K591" s="2"/>
      <c r="L591" s="2" t="s">
        <v>3533</v>
      </c>
      <c r="M591" s="2" t="s">
        <v>27</v>
      </c>
      <c r="N591" s="2" t="s">
        <v>3534</v>
      </c>
      <c r="O591" s="2" t="s">
        <v>29</v>
      </c>
      <c r="P591" s="2" t="s">
        <v>3535</v>
      </c>
    </row>
    <row r="592" customFormat="false" ht="79.85" hidden="false" customHeight="false" outlineLevel="0" collapsed="false">
      <c r="A592" s="2" t="s">
        <v>3145</v>
      </c>
      <c r="B592" s="2" t="s">
        <v>17</v>
      </c>
      <c r="C592" s="2" t="s">
        <v>3536</v>
      </c>
      <c r="D592" s="2" t="s">
        <v>390</v>
      </c>
      <c r="E592" s="2" t="s">
        <v>67</v>
      </c>
      <c r="F592" s="2" t="s">
        <v>3537</v>
      </c>
      <c r="G592" s="2" t="s">
        <v>3538</v>
      </c>
      <c r="H592" s="2" t="s">
        <v>2795</v>
      </c>
      <c r="I592" s="2" t="s">
        <v>596</v>
      </c>
      <c r="J592" s="2" t="s">
        <v>44</v>
      </c>
      <c r="K592" s="2"/>
      <c r="L592" s="2" t="s">
        <v>3539</v>
      </c>
      <c r="M592" s="2" t="s">
        <v>27</v>
      </c>
      <c r="N592" s="2" t="s">
        <v>3540</v>
      </c>
      <c r="O592" s="2" t="s">
        <v>29</v>
      </c>
      <c r="P592" s="2" t="s">
        <v>3541</v>
      </c>
    </row>
    <row r="593" customFormat="false" ht="91" hidden="false" customHeight="false" outlineLevel="0" collapsed="false">
      <c r="A593" s="2" t="s">
        <v>3145</v>
      </c>
      <c r="B593" s="2" t="s">
        <v>31</v>
      </c>
      <c r="C593" s="2" t="s">
        <v>397</v>
      </c>
      <c r="D593" s="2" t="s">
        <v>390</v>
      </c>
      <c r="E593" s="2" t="s">
        <v>20</v>
      </c>
      <c r="F593" s="2" t="s">
        <v>3542</v>
      </c>
      <c r="G593" s="2" t="s">
        <v>3543</v>
      </c>
      <c r="H593" s="2" t="s">
        <v>3505</v>
      </c>
      <c r="I593" s="2" t="s">
        <v>345</v>
      </c>
      <c r="J593" s="2" t="s">
        <v>346</v>
      </c>
      <c r="K593" s="2"/>
      <c r="L593" s="2" t="s">
        <v>3544</v>
      </c>
      <c r="M593" s="2" t="s">
        <v>27</v>
      </c>
      <c r="N593" s="2" t="s">
        <v>3545</v>
      </c>
      <c r="O593" s="2" t="s">
        <v>29</v>
      </c>
      <c r="P593" s="2" t="s">
        <v>3546</v>
      </c>
    </row>
    <row r="594" customFormat="false" ht="68.65" hidden="false" customHeight="false" outlineLevel="0" collapsed="false">
      <c r="A594" s="2" t="s">
        <v>3145</v>
      </c>
      <c r="B594" s="2" t="s">
        <v>31</v>
      </c>
      <c r="C594" s="2" t="s">
        <v>3547</v>
      </c>
      <c r="D594" s="2" t="s">
        <v>390</v>
      </c>
      <c r="E594" s="2" t="s">
        <v>67</v>
      </c>
      <c r="F594" s="2" t="s">
        <v>3548</v>
      </c>
      <c r="G594" s="2" t="s">
        <v>3549</v>
      </c>
      <c r="H594" s="2" t="s">
        <v>3550</v>
      </c>
      <c r="I594" s="2" t="s">
        <v>3551</v>
      </c>
      <c r="J594" s="2" t="s">
        <v>44</v>
      </c>
      <c r="K594" s="2"/>
      <c r="L594" s="2" t="s">
        <v>3552</v>
      </c>
      <c r="M594" s="2" t="s">
        <v>46</v>
      </c>
      <c r="N594" s="2" t="s">
        <v>3553</v>
      </c>
      <c r="O594" s="2" t="s">
        <v>29</v>
      </c>
      <c r="P594" s="2" t="s">
        <v>3554</v>
      </c>
    </row>
    <row r="595" customFormat="false" ht="102.2" hidden="false" customHeight="false" outlineLevel="0" collapsed="false">
      <c r="A595" s="2" t="s">
        <v>3145</v>
      </c>
      <c r="B595" s="2" t="s">
        <v>31</v>
      </c>
      <c r="C595" s="2" t="s">
        <v>493</v>
      </c>
      <c r="D595" s="2" t="s">
        <v>390</v>
      </c>
      <c r="E595" s="2" t="s">
        <v>20</v>
      </c>
      <c r="F595" s="2" t="s">
        <v>3555</v>
      </c>
      <c r="G595" s="2" t="s">
        <v>3556</v>
      </c>
      <c r="H595" s="2" t="s">
        <v>459</v>
      </c>
      <c r="I595" s="2" t="s">
        <v>496</v>
      </c>
      <c r="J595" s="2" t="s">
        <v>44</v>
      </c>
      <c r="K595" s="2"/>
      <c r="L595" s="2" t="s">
        <v>3557</v>
      </c>
      <c r="M595" s="2" t="s">
        <v>27</v>
      </c>
      <c r="N595" s="2" t="s">
        <v>3558</v>
      </c>
      <c r="O595" s="2" t="s">
        <v>29</v>
      </c>
      <c r="P595" s="2" t="s">
        <v>3559</v>
      </c>
    </row>
    <row r="596" customFormat="false" ht="91" hidden="false" customHeight="false" outlineLevel="0" collapsed="false">
      <c r="A596" s="2" t="s">
        <v>3145</v>
      </c>
      <c r="B596" s="2" t="s">
        <v>31</v>
      </c>
      <c r="C596" s="2" t="s">
        <v>3491</v>
      </c>
      <c r="D596" s="2" t="s">
        <v>390</v>
      </c>
      <c r="E596" s="2" t="s">
        <v>20</v>
      </c>
      <c r="F596" s="2" t="s">
        <v>3560</v>
      </c>
      <c r="G596" s="2" t="s">
        <v>3561</v>
      </c>
      <c r="H596" s="2" t="s">
        <v>1139</v>
      </c>
      <c r="I596" s="2" t="s">
        <v>3562</v>
      </c>
      <c r="J596" s="2" t="s">
        <v>44</v>
      </c>
      <c r="K596" s="2"/>
      <c r="L596" s="2" t="s">
        <v>3563</v>
      </c>
      <c r="M596" s="2" t="s">
        <v>27</v>
      </c>
      <c r="N596" s="2" t="s">
        <v>3564</v>
      </c>
      <c r="O596" s="2" t="s">
        <v>29</v>
      </c>
      <c r="P596" s="2" t="s">
        <v>3565</v>
      </c>
    </row>
    <row r="597" customFormat="false" ht="91" hidden="false" customHeight="false" outlineLevel="0" collapsed="false">
      <c r="A597" s="2" t="s">
        <v>3145</v>
      </c>
      <c r="B597" s="2" t="s">
        <v>65</v>
      </c>
      <c r="C597" s="2" t="s">
        <v>3491</v>
      </c>
      <c r="D597" s="2" t="s">
        <v>390</v>
      </c>
      <c r="E597" s="2" t="s">
        <v>20</v>
      </c>
      <c r="F597" s="2" t="s">
        <v>3566</v>
      </c>
      <c r="G597" s="2" t="s">
        <v>3567</v>
      </c>
      <c r="H597" s="2" t="s">
        <v>1139</v>
      </c>
      <c r="I597" s="2" t="s">
        <v>226</v>
      </c>
      <c r="J597" s="2" t="s">
        <v>44</v>
      </c>
      <c r="K597" s="2"/>
      <c r="L597" s="2" t="s">
        <v>3568</v>
      </c>
      <c r="M597" s="2" t="s">
        <v>27</v>
      </c>
      <c r="N597" s="2" t="s">
        <v>3569</v>
      </c>
      <c r="O597" s="2" t="s">
        <v>29</v>
      </c>
      <c r="P597" s="2" t="s">
        <v>3570</v>
      </c>
    </row>
    <row r="598" customFormat="false" ht="91" hidden="false" customHeight="false" outlineLevel="0" collapsed="false">
      <c r="A598" s="2" t="s">
        <v>3145</v>
      </c>
      <c r="B598" s="2" t="s">
        <v>17</v>
      </c>
      <c r="C598" s="2" t="s">
        <v>3571</v>
      </c>
      <c r="D598" s="2" t="s">
        <v>390</v>
      </c>
      <c r="E598" s="2" t="s">
        <v>67</v>
      </c>
      <c r="F598" s="2" t="s">
        <v>3572</v>
      </c>
      <c r="G598" s="2" t="s">
        <v>3573</v>
      </c>
      <c r="H598" s="2" t="s">
        <v>1139</v>
      </c>
      <c r="I598" s="2" t="s">
        <v>226</v>
      </c>
      <c r="J598" s="2" t="s">
        <v>44</v>
      </c>
      <c r="K598" s="2"/>
      <c r="L598" s="2" t="s">
        <v>3574</v>
      </c>
      <c r="M598" s="2" t="s">
        <v>27</v>
      </c>
      <c r="N598" s="2" t="s">
        <v>3575</v>
      </c>
      <c r="O598" s="2" t="s">
        <v>29</v>
      </c>
      <c r="P598" s="2" t="s">
        <v>3576</v>
      </c>
    </row>
    <row r="599" customFormat="false" ht="135.8" hidden="false" customHeight="false" outlineLevel="0" collapsed="false">
      <c r="A599" s="2" t="s">
        <v>3145</v>
      </c>
      <c r="B599" s="2" t="s">
        <v>31</v>
      </c>
      <c r="C599" s="2" t="s">
        <v>3577</v>
      </c>
      <c r="D599" s="2" t="s">
        <v>390</v>
      </c>
      <c r="E599" s="2" t="s">
        <v>67</v>
      </c>
      <c r="F599" s="2" t="s">
        <v>3578</v>
      </c>
      <c r="G599" s="2" t="s">
        <v>3579</v>
      </c>
      <c r="H599" s="2" t="s">
        <v>1132</v>
      </c>
      <c r="I599" s="2" t="s">
        <v>226</v>
      </c>
      <c r="J599" s="2" t="s">
        <v>44</v>
      </c>
      <c r="K599" s="2"/>
      <c r="L599" s="2" t="s">
        <v>3580</v>
      </c>
      <c r="M599" s="2" t="s">
        <v>27</v>
      </c>
      <c r="N599" s="2" t="s">
        <v>3581</v>
      </c>
      <c r="O599" s="2" t="s">
        <v>29</v>
      </c>
      <c r="P599" s="2" t="s">
        <v>3582</v>
      </c>
    </row>
    <row r="600" customFormat="false" ht="35.05" hidden="false" customHeight="false" outlineLevel="0" collapsed="false">
      <c r="A600" s="3" t="s">
        <v>3145</v>
      </c>
      <c r="B600" s="3" t="s">
        <v>17</v>
      </c>
      <c r="C600" s="3" t="s">
        <v>3583</v>
      </c>
      <c r="D600" s="3" t="s">
        <v>539</v>
      </c>
      <c r="E600" s="3" t="s">
        <v>67</v>
      </c>
      <c r="F600" s="3" t="s">
        <v>3584</v>
      </c>
      <c r="G600" s="3" t="s">
        <v>3585</v>
      </c>
      <c r="H600" s="3" t="s">
        <v>240</v>
      </c>
      <c r="I600" s="3" t="s">
        <v>36</v>
      </c>
      <c r="J600" s="3" t="s">
        <v>25</v>
      </c>
      <c r="K600" s="3" t="s">
        <v>93</v>
      </c>
      <c r="L600" s="3" t="s">
        <v>3586</v>
      </c>
      <c r="M600" s="3" t="s">
        <v>121</v>
      </c>
      <c r="N600" s="3" t="s">
        <v>3587</v>
      </c>
      <c r="O600" s="3" t="s">
        <v>183</v>
      </c>
      <c r="P600" s="3" t="s">
        <v>3588</v>
      </c>
    </row>
    <row r="601" customFormat="false" ht="79.85" hidden="false" customHeight="false" outlineLevel="0" collapsed="false">
      <c r="A601" s="2" t="s">
        <v>3145</v>
      </c>
      <c r="B601" s="2" t="s">
        <v>65</v>
      </c>
      <c r="C601" s="2" t="s">
        <v>3589</v>
      </c>
      <c r="D601" s="2" t="s">
        <v>539</v>
      </c>
      <c r="E601" s="2" t="s">
        <v>67</v>
      </c>
      <c r="F601" s="2" t="s">
        <v>3590</v>
      </c>
      <c r="G601" s="2" t="s">
        <v>3591</v>
      </c>
      <c r="H601" s="2" t="s">
        <v>3592</v>
      </c>
      <c r="I601" s="2" t="s">
        <v>596</v>
      </c>
      <c r="J601" s="2" t="s">
        <v>25</v>
      </c>
      <c r="K601" s="2" t="s">
        <v>3593</v>
      </c>
      <c r="L601" s="2" t="s">
        <v>2616</v>
      </c>
      <c r="M601" s="2" t="s">
        <v>46</v>
      </c>
      <c r="N601" s="2" t="s">
        <v>3594</v>
      </c>
      <c r="O601" s="2" t="s">
        <v>29</v>
      </c>
      <c r="P601" s="2" t="s">
        <v>3595</v>
      </c>
    </row>
    <row r="602" customFormat="false" ht="57.45" hidden="false" customHeight="false" outlineLevel="0" collapsed="false">
      <c r="A602" s="2" t="s">
        <v>3145</v>
      </c>
      <c r="B602" s="2" t="s">
        <v>17</v>
      </c>
      <c r="C602" s="2" t="s">
        <v>3596</v>
      </c>
      <c r="D602" s="2" t="s">
        <v>539</v>
      </c>
      <c r="E602" s="2" t="s">
        <v>67</v>
      </c>
      <c r="F602" s="2" t="s">
        <v>3597</v>
      </c>
      <c r="G602" s="2" t="s">
        <v>3598</v>
      </c>
      <c r="H602" s="2" t="s">
        <v>2874</v>
      </c>
      <c r="I602" s="2" t="s">
        <v>226</v>
      </c>
      <c r="J602" s="2" t="s">
        <v>44</v>
      </c>
      <c r="K602" s="2" t="s">
        <v>3599</v>
      </c>
      <c r="L602" s="2" t="s">
        <v>3281</v>
      </c>
      <c r="M602" s="2" t="s">
        <v>160</v>
      </c>
      <c r="N602" s="2" t="s">
        <v>3600</v>
      </c>
      <c r="O602" s="2" t="s">
        <v>29</v>
      </c>
      <c r="P602" s="2" t="s">
        <v>3601</v>
      </c>
    </row>
    <row r="603" customFormat="false" ht="46.25" hidden="false" customHeight="false" outlineLevel="0" collapsed="false">
      <c r="A603" s="2" t="s">
        <v>3145</v>
      </c>
      <c r="B603" s="2" t="s">
        <v>17</v>
      </c>
      <c r="C603" s="2" t="s">
        <v>3602</v>
      </c>
      <c r="D603" s="2" t="s">
        <v>539</v>
      </c>
      <c r="E603" s="2" t="s">
        <v>67</v>
      </c>
      <c r="F603" s="2" t="s">
        <v>3603</v>
      </c>
      <c r="G603" s="2" t="s">
        <v>3604</v>
      </c>
      <c r="H603" s="2" t="s">
        <v>609</v>
      </c>
      <c r="I603" s="2" t="s">
        <v>3605</v>
      </c>
      <c r="J603" s="2" t="s">
        <v>25</v>
      </c>
      <c r="K603" s="2" t="s">
        <v>93</v>
      </c>
      <c r="L603" s="2" t="s">
        <v>1262</v>
      </c>
      <c r="M603" s="2" t="s">
        <v>46</v>
      </c>
      <c r="N603" s="2" t="s">
        <v>3606</v>
      </c>
      <c r="O603" s="2" t="s">
        <v>29</v>
      </c>
      <c r="P603" s="2" t="s">
        <v>3607</v>
      </c>
    </row>
    <row r="604" customFormat="false" ht="79.85" hidden="false" customHeight="false" outlineLevel="0" collapsed="false">
      <c r="A604" s="2" t="s">
        <v>3145</v>
      </c>
      <c r="B604" s="2" t="s">
        <v>254</v>
      </c>
      <c r="C604" s="2" t="s">
        <v>3608</v>
      </c>
      <c r="D604" s="2" t="s">
        <v>539</v>
      </c>
      <c r="E604" s="2" t="s">
        <v>67</v>
      </c>
      <c r="F604" s="2" t="s">
        <v>3609</v>
      </c>
      <c r="G604" s="2" t="s">
        <v>3610</v>
      </c>
      <c r="H604" s="2" t="s">
        <v>240</v>
      </c>
      <c r="I604" s="2" t="s">
        <v>323</v>
      </c>
      <c r="J604" s="2" t="s">
        <v>25</v>
      </c>
      <c r="K604" s="2"/>
      <c r="L604" s="2" t="s">
        <v>3611</v>
      </c>
      <c r="M604" s="2" t="s">
        <v>27</v>
      </c>
      <c r="N604" s="2" t="s">
        <v>3612</v>
      </c>
      <c r="O604" s="2" t="s">
        <v>29</v>
      </c>
      <c r="P604" s="2" t="s">
        <v>3613</v>
      </c>
    </row>
    <row r="605" customFormat="false" ht="135.8" hidden="false" customHeight="false" outlineLevel="0" collapsed="false">
      <c r="A605" s="2" t="s">
        <v>3145</v>
      </c>
      <c r="B605" s="2" t="s">
        <v>288</v>
      </c>
      <c r="C605" s="2" t="s">
        <v>3614</v>
      </c>
      <c r="D605" s="2" t="s">
        <v>539</v>
      </c>
      <c r="E605" s="2" t="s">
        <v>67</v>
      </c>
      <c r="F605" s="2" t="s">
        <v>3615</v>
      </c>
      <c r="G605" s="2" t="s">
        <v>3616</v>
      </c>
      <c r="H605" s="2" t="s">
        <v>240</v>
      </c>
      <c r="I605" s="2" t="s">
        <v>3341</v>
      </c>
      <c r="J605" s="2" t="s">
        <v>44</v>
      </c>
      <c r="K605" s="2"/>
      <c r="L605" s="2" t="s">
        <v>3617</v>
      </c>
      <c r="M605" s="2" t="s">
        <v>121</v>
      </c>
      <c r="N605" s="2" t="s">
        <v>3618</v>
      </c>
      <c r="O605" s="2" t="s">
        <v>29</v>
      </c>
      <c r="P605" s="2" t="s">
        <v>3619</v>
      </c>
    </row>
    <row r="606" customFormat="false" ht="79.85" hidden="false" customHeight="false" outlineLevel="0" collapsed="false">
      <c r="A606" s="2" t="s">
        <v>3145</v>
      </c>
      <c r="B606" s="2" t="s">
        <v>17</v>
      </c>
      <c r="C606" s="2" t="s">
        <v>3620</v>
      </c>
      <c r="D606" s="2" t="s">
        <v>539</v>
      </c>
      <c r="E606" s="2" t="s">
        <v>67</v>
      </c>
      <c r="F606" s="2" t="s">
        <v>3621</v>
      </c>
      <c r="G606" s="2" t="s">
        <v>3622</v>
      </c>
      <c r="H606" s="2" t="s">
        <v>2874</v>
      </c>
      <c r="I606" s="2" t="s">
        <v>1509</v>
      </c>
      <c r="J606" s="2" t="s">
        <v>92</v>
      </c>
      <c r="K606" s="2" t="s">
        <v>3623</v>
      </c>
      <c r="L606" s="2" t="s">
        <v>1262</v>
      </c>
      <c r="M606" s="2" t="s">
        <v>46</v>
      </c>
      <c r="N606" s="2" t="s">
        <v>3624</v>
      </c>
      <c r="O606" s="2" t="s">
        <v>29</v>
      </c>
      <c r="P606" s="2" t="s">
        <v>3625</v>
      </c>
    </row>
    <row r="607" customFormat="false" ht="68.65" hidden="false" customHeight="false" outlineLevel="0" collapsed="false">
      <c r="A607" s="2" t="s">
        <v>3145</v>
      </c>
      <c r="B607" s="2" t="s">
        <v>17</v>
      </c>
      <c r="C607" s="2" t="s">
        <v>3626</v>
      </c>
      <c r="D607" s="2" t="s">
        <v>539</v>
      </c>
      <c r="E607" s="2" t="s">
        <v>67</v>
      </c>
      <c r="F607" s="2" t="s">
        <v>3627</v>
      </c>
      <c r="G607" s="2" t="s">
        <v>3628</v>
      </c>
      <c r="H607" s="2" t="s">
        <v>3629</v>
      </c>
      <c r="I607" s="2" t="s">
        <v>1888</v>
      </c>
      <c r="J607" s="2" t="s">
        <v>44</v>
      </c>
      <c r="K607" s="2"/>
      <c r="L607" s="2" t="s">
        <v>1371</v>
      </c>
      <c r="M607" s="2" t="s">
        <v>27</v>
      </c>
      <c r="N607" s="2" t="s">
        <v>3630</v>
      </c>
      <c r="O607" s="2" t="s">
        <v>29</v>
      </c>
      <c r="P607" s="2" t="s">
        <v>3631</v>
      </c>
    </row>
    <row r="608" customFormat="false" ht="57.45" hidden="false" customHeight="false" outlineLevel="0" collapsed="false">
      <c r="A608" s="2" t="s">
        <v>3145</v>
      </c>
      <c r="B608" s="2" t="s">
        <v>65</v>
      </c>
      <c r="C608" s="2" t="s">
        <v>3632</v>
      </c>
      <c r="D608" s="2" t="s">
        <v>539</v>
      </c>
      <c r="E608" s="2" t="s">
        <v>67</v>
      </c>
      <c r="F608" s="2" t="s">
        <v>3633</v>
      </c>
      <c r="G608" s="2" t="s">
        <v>3634</v>
      </c>
      <c r="H608" s="2" t="s">
        <v>240</v>
      </c>
      <c r="I608" s="2" t="s">
        <v>359</v>
      </c>
      <c r="J608" s="2" t="s">
        <v>44</v>
      </c>
      <c r="K608" s="2" t="s">
        <v>93</v>
      </c>
      <c r="L608" s="2" t="s">
        <v>3635</v>
      </c>
      <c r="M608" s="2" t="s">
        <v>46</v>
      </c>
      <c r="N608" s="2" t="s">
        <v>3636</v>
      </c>
      <c r="O608" s="2" t="s">
        <v>29</v>
      </c>
      <c r="P608" s="2" t="s">
        <v>1300</v>
      </c>
    </row>
    <row r="609" customFormat="false" ht="46.25" hidden="false" customHeight="false" outlineLevel="0" collapsed="false">
      <c r="A609" s="2" t="s">
        <v>3145</v>
      </c>
      <c r="B609" s="2" t="s">
        <v>17</v>
      </c>
      <c r="C609" s="2" t="s">
        <v>3637</v>
      </c>
      <c r="D609" s="2" t="s">
        <v>539</v>
      </c>
      <c r="E609" s="2" t="s">
        <v>67</v>
      </c>
      <c r="F609" s="2" t="s">
        <v>3638</v>
      </c>
      <c r="G609" s="2" t="s">
        <v>3639</v>
      </c>
      <c r="H609" s="2" t="s">
        <v>3640</v>
      </c>
      <c r="I609" s="2" t="s">
        <v>226</v>
      </c>
      <c r="J609" s="2" t="s">
        <v>118</v>
      </c>
      <c r="K609" s="2" t="s">
        <v>3641</v>
      </c>
      <c r="L609" s="2" t="s">
        <v>3642</v>
      </c>
      <c r="M609" s="2" t="s">
        <v>27</v>
      </c>
      <c r="N609" s="2" t="s">
        <v>3643</v>
      </c>
      <c r="O609" s="2" t="s">
        <v>29</v>
      </c>
      <c r="P609" s="2" t="s">
        <v>3644</v>
      </c>
    </row>
    <row r="610" customFormat="false" ht="57.45" hidden="false" customHeight="false" outlineLevel="0" collapsed="false">
      <c r="A610" s="2" t="s">
        <v>3145</v>
      </c>
      <c r="B610" s="2" t="s">
        <v>17</v>
      </c>
      <c r="C610" s="2" t="s">
        <v>3645</v>
      </c>
      <c r="D610" s="2" t="s">
        <v>539</v>
      </c>
      <c r="E610" s="2" t="s">
        <v>67</v>
      </c>
      <c r="F610" s="2" t="s">
        <v>3646</v>
      </c>
      <c r="G610" s="2" t="s">
        <v>3647</v>
      </c>
      <c r="H610" s="2" t="s">
        <v>240</v>
      </c>
      <c r="I610" s="2" t="s">
        <v>359</v>
      </c>
      <c r="J610" s="2" t="s">
        <v>44</v>
      </c>
      <c r="K610" s="2"/>
      <c r="L610" s="2" t="s">
        <v>3648</v>
      </c>
      <c r="M610" s="2" t="s">
        <v>27</v>
      </c>
      <c r="N610" s="2" t="s">
        <v>3649</v>
      </c>
      <c r="O610" s="2" t="s">
        <v>29</v>
      </c>
      <c r="P610" s="2" t="s">
        <v>3650</v>
      </c>
    </row>
    <row r="611" customFormat="false" ht="57.45" hidden="false" customHeight="false" outlineLevel="0" collapsed="false">
      <c r="A611" s="2" t="s">
        <v>3145</v>
      </c>
      <c r="B611" s="2" t="s">
        <v>17</v>
      </c>
      <c r="C611" s="2" t="s">
        <v>3651</v>
      </c>
      <c r="D611" s="2" t="s">
        <v>539</v>
      </c>
      <c r="E611" s="2" t="s">
        <v>593</v>
      </c>
      <c r="F611" s="2" t="s">
        <v>3652</v>
      </c>
      <c r="G611" s="2" t="s">
        <v>3653</v>
      </c>
      <c r="H611" s="2" t="s">
        <v>3654</v>
      </c>
      <c r="I611" s="2" t="s">
        <v>3655</v>
      </c>
      <c r="J611" s="2" t="s">
        <v>44</v>
      </c>
      <c r="K611" s="2" t="s">
        <v>1261</v>
      </c>
      <c r="L611" s="2" t="s">
        <v>3656</v>
      </c>
      <c r="M611" s="2" t="s">
        <v>46</v>
      </c>
      <c r="N611" s="2" t="s">
        <v>3657</v>
      </c>
      <c r="O611" s="2" t="s">
        <v>29</v>
      </c>
      <c r="P611" s="2" t="s">
        <v>3658</v>
      </c>
    </row>
    <row r="612" customFormat="false" ht="68.65" hidden="false" customHeight="false" outlineLevel="0" collapsed="false">
      <c r="A612" s="2" t="s">
        <v>3145</v>
      </c>
      <c r="B612" s="2" t="s">
        <v>17</v>
      </c>
      <c r="C612" s="2" t="s">
        <v>3659</v>
      </c>
      <c r="D612" s="2" t="s">
        <v>539</v>
      </c>
      <c r="E612" s="2" t="s">
        <v>67</v>
      </c>
      <c r="F612" s="2" t="s">
        <v>3660</v>
      </c>
      <c r="G612" s="2" t="s">
        <v>3661</v>
      </c>
      <c r="H612" s="2" t="s">
        <v>240</v>
      </c>
      <c r="I612" s="2" t="s">
        <v>763</v>
      </c>
      <c r="J612" s="2" t="s">
        <v>44</v>
      </c>
      <c r="K612" s="2"/>
      <c r="L612" s="2" t="s">
        <v>1855</v>
      </c>
      <c r="M612" s="2" t="s">
        <v>121</v>
      </c>
      <c r="N612" s="2" t="s">
        <v>3662</v>
      </c>
      <c r="O612" s="2" t="s">
        <v>29</v>
      </c>
      <c r="P612" s="2" t="s">
        <v>3663</v>
      </c>
    </row>
    <row r="613" customFormat="false" ht="57.45" hidden="false" customHeight="false" outlineLevel="0" collapsed="false">
      <c r="A613" s="2" t="s">
        <v>3145</v>
      </c>
      <c r="B613" s="2" t="s">
        <v>17</v>
      </c>
      <c r="C613" s="2" t="s">
        <v>3664</v>
      </c>
      <c r="D613" s="2" t="s">
        <v>539</v>
      </c>
      <c r="E613" s="2" t="s">
        <v>67</v>
      </c>
      <c r="F613" s="2" t="s">
        <v>3665</v>
      </c>
      <c r="G613" s="2" t="s">
        <v>3666</v>
      </c>
      <c r="H613" s="2" t="s">
        <v>3667</v>
      </c>
      <c r="I613" s="2" t="s">
        <v>226</v>
      </c>
      <c r="J613" s="2" t="s">
        <v>118</v>
      </c>
      <c r="K613" s="2" t="s">
        <v>93</v>
      </c>
      <c r="L613" s="2" t="s">
        <v>120</v>
      </c>
      <c r="M613" s="2" t="s">
        <v>121</v>
      </c>
      <c r="N613" s="2" t="s">
        <v>3465</v>
      </c>
      <c r="O613" s="2" t="s">
        <v>29</v>
      </c>
      <c r="P613" s="2" t="s">
        <v>579</v>
      </c>
    </row>
    <row r="614" customFormat="false" ht="68.65" hidden="false" customHeight="false" outlineLevel="0" collapsed="false">
      <c r="A614" s="2" t="s">
        <v>3145</v>
      </c>
      <c r="B614" s="2" t="s">
        <v>17</v>
      </c>
      <c r="C614" s="2" t="s">
        <v>3668</v>
      </c>
      <c r="D614" s="2" t="s">
        <v>539</v>
      </c>
      <c r="E614" s="2" t="s">
        <v>67</v>
      </c>
      <c r="F614" s="2" t="s">
        <v>3669</v>
      </c>
      <c r="G614" s="2" t="s">
        <v>3670</v>
      </c>
      <c r="H614" s="2" t="s">
        <v>240</v>
      </c>
      <c r="I614" s="2" t="s">
        <v>226</v>
      </c>
      <c r="J614" s="2" t="s">
        <v>44</v>
      </c>
      <c r="K614" s="2"/>
      <c r="L614" s="2" t="s">
        <v>3671</v>
      </c>
      <c r="M614" s="2" t="s">
        <v>27</v>
      </c>
      <c r="N614" s="2" t="s">
        <v>3672</v>
      </c>
      <c r="O614" s="2" t="s">
        <v>29</v>
      </c>
      <c r="P614" s="2" t="s">
        <v>3673</v>
      </c>
    </row>
    <row r="615" customFormat="false" ht="79.85" hidden="false" customHeight="false" outlineLevel="0" collapsed="false">
      <c r="A615" s="2" t="s">
        <v>3145</v>
      </c>
      <c r="B615" s="2" t="s">
        <v>17</v>
      </c>
      <c r="C615" s="2" t="s">
        <v>2283</v>
      </c>
      <c r="D615" s="2" t="s">
        <v>539</v>
      </c>
      <c r="E615" s="2" t="s">
        <v>593</v>
      </c>
      <c r="F615" s="2" t="s">
        <v>3674</v>
      </c>
      <c r="G615" s="2" t="s">
        <v>3675</v>
      </c>
      <c r="H615" s="2" t="s">
        <v>3676</v>
      </c>
      <c r="I615" s="2" t="s">
        <v>3677</v>
      </c>
      <c r="J615" s="2" t="s">
        <v>92</v>
      </c>
      <c r="K615" s="2" t="s">
        <v>3678</v>
      </c>
      <c r="L615" s="2" t="s">
        <v>3679</v>
      </c>
      <c r="M615" s="2" t="s">
        <v>46</v>
      </c>
      <c r="N615" s="2" t="s">
        <v>3680</v>
      </c>
      <c r="O615" s="2" t="s">
        <v>29</v>
      </c>
      <c r="P615" s="2" t="s">
        <v>3681</v>
      </c>
    </row>
    <row r="616" customFormat="false" ht="68.65" hidden="false" customHeight="false" outlineLevel="0" collapsed="false">
      <c r="A616" s="2" t="s">
        <v>3145</v>
      </c>
      <c r="B616" s="2" t="s">
        <v>17</v>
      </c>
      <c r="C616" s="2" t="s">
        <v>3682</v>
      </c>
      <c r="D616" s="2" t="s">
        <v>539</v>
      </c>
      <c r="E616" s="2" t="s">
        <v>67</v>
      </c>
      <c r="F616" s="2" t="s">
        <v>3683</v>
      </c>
      <c r="G616" s="2" t="s">
        <v>3684</v>
      </c>
      <c r="H616" s="2" t="s">
        <v>240</v>
      </c>
      <c r="I616" s="2" t="s">
        <v>763</v>
      </c>
      <c r="J616" s="2" t="s">
        <v>44</v>
      </c>
      <c r="K616" s="2" t="s">
        <v>93</v>
      </c>
      <c r="L616" s="2" t="s">
        <v>598</v>
      </c>
      <c r="M616" s="2" t="s">
        <v>46</v>
      </c>
      <c r="N616" s="2" t="s">
        <v>3685</v>
      </c>
      <c r="O616" s="2" t="s">
        <v>29</v>
      </c>
      <c r="P616" s="2" t="s">
        <v>3686</v>
      </c>
    </row>
    <row r="617" customFormat="false" ht="57.45" hidden="false" customHeight="false" outlineLevel="0" collapsed="false">
      <c r="A617" s="2" t="s">
        <v>3145</v>
      </c>
      <c r="B617" s="2" t="s">
        <v>17</v>
      </c>
      <c r="C617" s="2" t="s">
        <v>3687</v>
      </c>
      <c r="D617" s="2" t="s">
        <v>539</v>
      </c>
      <c r="E617" s="2" t="s">
        <v>20</v>
      </c>
      <c r="F617" s="2" t="s">
        <v>3688</v>
      </c>
      <c r="G617" s="2" t="s">
        <v>3689</v>
      </c>
      <c r="H617" s="2" t="s">
        <v>3690</v>
      </c>
      <c r="I617" s="2" t="s">
        <v>345</v>
      </c>
      <c r="J617" s="2" t="s">
        <v>44</v>
      </c>
      <c r="K617" s="2" t="s">
        <v>3691</v>
      </c>
      <c r="L617" s="2" t="s">
        <v>242</v>
      </c>
      <c r="M617" s="2" t="s">
        <v>46</v>
      </c>
      <c r="N617" s="2" t="s">
        <v>3692</v>
      </c>
      <c r="O617" s="2" t="s">
        <v>29</v>
      </c>
      <c r="P617" s="2" t="s">
        <v>3693</v>
      </c>
    </row>
    <row r="618" customFormat="false" ht="124.6" hidden="false" customHeight="false" outlineLevel="0" collapsed="false">
      <c r="A618" s="2" t="s">
        <v>3145</v>
      </c>
      <c r="B618" s="2" t="s">
        <v>169</v>
      </c>
      <c r="C618" s="2" t="s">
        <v>3694</v>
      </c>
      <c r="D618" s="2" t="s">
        <v>539</v>
      </c>
      <c r="E618" s="2" t="s">
        <v>67</v>
      </c>
      <c r="F618" s="2" t="s">
        <v>3695</v>
      </c>
      <c r="G618" s="2" t="s">
        <v>3696</v>
      </c>
      <c r="H618" s="2" t="s">
        <v>240</v>
      </c>
      <c r="I618" s="2" t="s">
        <v>1888</v>
      </c>
      <c r="J618" s="2" t="s">
        <v>44</v>
      </c>
      <c r="K618" s="2"/>
      <c r="L618" s="2" t="s">
        <v>3697</v>
      </c>
      <c r="M618" s="2" t="s">
        <v>243</v>
      </c>
      <c r="N618" s="2" t="s">
        <v>3698</v>
      </c>
      <c r="O618" s="2" t="s">
        <v>29</v>
      </c>
      <c r="P618" s="2" t="s">
        <v>3699</v>
      </c>
    </row>
    <row r="619" customFormat="false" ht="57.45" hidden="false" customHeight="false" outlineLevel="0" collapsed="false">
      <c r="A619" s="2" t="s">
        <v>3145</v>
      </c>
      <c r="B619" s="2" t="s">
        <v>17</v>
      </c>
      <c r="C619" s="2" t="s">
        <v>3700</v>
      </c>
      <c r="D619" s="2" t="s">
        <v>539</v>
      </c>
      <c r="E619" s="2" t="s">
        <v>67</v>
      </c>
      <c r="F619" s="2" t="s">
        <v>3701</v>
      </c>
      <c r="G619" s="2" t="s">
        <v>3702</v>
      </c>
      <c r="H619" s="2" t="s">
        <v>3703</v>
      </c>
      <c r="I619" s="2" t="s">
        <v>3704</v>
      </c>
      <c r="J619" s="2" t="s">
        <v>44</v>
      </c>
      <c r="K619" s="2" t="s">
        <v>93</v>
      </c>
      <c r="L619" s="2" t="s">
        <v>3705</v>
      </c>
      <c r="M619" s="2" t="s">
        <v>27</v>
      </c>
      <c r="N619" s="2" t="s">
        <v>3706</v>
      </c>
      <c r="O619" s="2" t="s">
        <v>29</v>
      </c>
      <c r="P619" s="2" t="s">
        <v>3707</v>
      </c>
    </row>
    <row r="620" customFormat="false" ht="79.85" hidden="false" customHeight="false" outlineLevel="0" collapsed="false">
      <c r="A620" s="2" t="s">
        <v>3145</v>
      </c>
      <c r="B620" s="2" t="s">
        <v>254</v>
      </c>
      <c r="C620" s="2" t="s">
        <v>3708</v>
      </c>
      <c r="D620" s="2" t="s">
        <v>539</v>
      </c>
      <c r="E620" s="2" t="s">
        <v>67</v>
      </c>
      <c r="F620" s="2" t="s">
        <v>3709</v>
      </c>
      <c r="G620" s="2" t="s">
        <v>3710</v>
      </c>
      <c r="H620" s="2" t="s">
        <v>3711</v>
      </c>
      <c r="I620" s="2" t="s">
        <v>3712</v>
      </c>
      <c r="J620" s="2" t="s">
        <v>25</v>
      </c>
      <c r="K620" s="2"/>
      <c r="L620" s="2" t="s">
        <v>3177</v>
      </c>
      <c r="M620" s="2" t="s">
        <v>46</v>
      </c>
      <c r="N620" s="2" t="s">
        <v>3713</v>
      </c>
      <c r="O620" s="2" t="s">
        <v>29</v>
      </c>
      <c r="P620" s="2" t="s">
        <v>3714</v>
      </c>
    </row>
    <row r="621" customFormat="false" ht="79.85" hidden="false" customHeight="false" outlineLevel="0" collapsed="false">
      <c r="A621" s="2" t="s">
        <v>3145</v>
      </c>
      <c r="B621" s="2" t="s">
        <v>17</v>
      </c>
      <c r="C621" s="2" t="s">
        <v>3715</v>
      </c>
      <c r="D621" s="2" t="s">
        <v>539</v>
      </c>
      <c r="E621" s="2" t="s">
        <v>20</v>
      </c>
      <c r="F621" s="2" t="s">
        <v>3716</v>
      </c>
      <c r="G621" s="2" t="s">
        <v>3717</v>
      </c>
      <c r="H621" s="2" t="s">
        <v>3718</v>
      </c>
      <c r="I621" s="2" t="s">
        <v>3719</v>
      </c>
      <c r="J621" s="2" t="s">
        <v>92</v>
      </c>
      <c r="K621" s="2" t="s">
        <v>3720</v>
      </c>
      <c r="L621" s="2" t="s">
        <v>3721</v>
      </c>
      <c r="M621" s="2" t="s">
        <v>27</v>
      </c>
      <c r="N621" s="2" t="s">
        <v>3722</v>
      </c>
      <c r="O621" s="2" t="s">
        <v>29</v>
      </c>
      <c r="P621" s="2" t="s">
        <v>3723</v>
      </c>
    </row>
    <row r="622" customFormat="false" ht="68.65" hidden="false" customHeight="false" outlineLevel="0" collapsed="false">
      <c r="A622" s="2" t="s">
        <v>3145</v>
      </c>
      <c r="B622" s="2" t="s">
        <v>17</v>
      </c>
      <c r="C622" s="2" t="s">
        <v>3724</v>
      </c>
      <c r="D622" s="2" t="s">
        <v>539</v>
      </c>
      <c r="E622" s="2" t="s">
        <v>67</v>
      </c>
      <c r="F622" s="2" t="s">
        <v>3725</v>
      </c>
      <c r="G622" s="2" t="s">
        <v>3726</v>
      </c>
      <c r="H622" s="2" t="s">
        <v>240</v>
      </c>
      <c r="I622" s="2" t="s">
        <v>1056</v>
      </c>
      <c r="J622" s="2" t="s">
        <v>44</v>
      </c>
      <c r="K622" s="2" t="s">
        <v>93</v>
      </c>
      <c r="L622" s="2" t="s">
        <v>3727</v>
      </c>
      <c r="M622" s="2" t="s">
        <v>46</v>
      </c>
      <c r="N622" s="2" t="s">
        <v>3728</v>
      </c>
      <c r="O622" s="2" t="s">
        <v>29</v>
      </c>
      <c r="P622" s="2" t="s">
        <v>3729</v>
      </c>
    </row>
    <row r="623" customFormat="false" ht="57.45" hidden="false" customHeight="false" outlineLevel="0" collapsed="false">
      <c r="A623" s="2" t="s">
        <v>3145</v>
      </c>
      <c r="B623" s="2" t="s">
        <v>288</v>
      </c>
      <c r="C623" s="2" t="s">
        <v>3730</v>
      </c>
      <c r="D623" s="2" t="s">
        <v>539</v>
      </c>
      <c r="E623" s="2" t="s">
        <v>593</v>
      </c>
      <c r="F623" s="2" t="s">
        <v>3731</v>
      </c>
      <c r="G623" s="2" t="s">
        <v>3732</v>
      </c>
      <c r="H623" s="2" t="s">
        <v>1228</v>
      </c>
      <c r="I623" s="2" t="s">
        <v>173</v>
      </c>
      <c r="J623" s="2" t="s">
        <v>44</v>
      </c>
      <c r="K623" s="2" t="s">
        <v>1281</v>
      </c>
      <c r="L623" s="2" t="s">
        <v>598</v>
      </c>
      <c r="M623" s="2" t="s">
        <v>46</v>
      </c>
      <c r="N623" s="2" t="s">
        <v>3733</v>
      </c>
      <c r="O623" s="2" t="s">
        <v>29</v>
      </c>
      <c r="P623" s="2" t="s">
        <v>3734</v>
      </c>
    </row>
    <row r="624" customFormat="false" ht="57.45" hidden="false" customHeight="false" outlineLevel="0" collapsed="false">
      <c r="A624" s="3" t="s">
        <v>3145</v>
      </c>
      <c r="B624" s="3" t="s">
        <v>65</v>
      </c>
      <c r="C624" s="3" t="s">
        <v>3735</v>
      </c>
      <c r="D624" s="3" t="s">
        <v>539</v>
      </c>
      <c r="E624" s="3" t="s">
        <v>67</v>
      </c>
      <c r="F624" s="3" t="s">
        <v>3736</v>
      </c>
      <c r="G624" s="3" t="s">
        <v>3737</v>
      </c>
      <c r="H624" s="3" t="s">
        <v>240</v>
      </c>
      <c r="I624" s="3" t="s">
        <v>36</v>
      </c>
      <c r="J624" s="3" t="s">
        <v>25</v>
      </c>
      <c r="K624" s="3" t="s">
        <v>3738</v>
      </c>
      <c r="L624" s="3" t="s">
        <v>3586</v>
      </c>
      <c r="M624" s="3" t="s">
        <v>121</v>
      </c>
      <c r="N624" s="3" t="s">
        <v>3587</v>
      </c>
      <c r="O624" s="3" t="s">
        <v>183</v>
      </c>
      <c r="P624" s="3" t="s">
        <v>3739</v>
      </c>
    </row>
    <row r="625" customFormat="false" ht="91" hidden="false" customHeight="false" outlineLevel="0" collapsed="false">
      <c r="A625" s="2" t="s">
        <v>3145</v>
      </c>
      <c r="B625" s="2" t="s">
        <v>169</v>
      </c>
      <c r="C625" s="2" t="s">
        <v>3740</v>
      </c>
      <c r="D625" s="2" t="s">
        <v>539</v>
      </c>
      <c r="E625" s="2" t="s">
        <v>67</v>
      </c>
      <c r="F625" s="2" t="s">
        <v>3741</v>
      </c>
      <c r="G625" s="2" t="s">
        <v>3742</v>
      </c>
      <c r="H625" s="2" t="s">
        <v>3654</v>
      </c>
      <c r="I625" s="2" t="s">
        <v>1056</v>
      </c>
      <c r="J625" s="2" t="s">
        <v>44</v>
      </c>
      <c r="K625" s="2" t="s">
        <v>2968</v>
      </c>
      <c r="L625" s="2" t="s">
        <v>3743</v>
      </c>
      <c r="M625" s="2" t="s">
        <v>160</v>
      </c>
      <c r="N625" s="2" t="s">
        <v>3744</v>
      </c>
      <c r="O625" s="2" t="s">
        <v>29</v>
      </c>
      <c r="P625" s="2" t="s">
        <v>3745</v>
      </c>
    </row>
    <row r="626" customFormat="false" ht="68.65" hidden="false" customHeight="false" outlineLevel="0" collapsed="false">
      <c r="A626" s="2" t="s">
        <v>3145</v>
      </c>
      <c r="B626" s="2" t="s">
        <v>288</v>
      </c>
      <c r="C626" s="2" t="s">
        <v>3746</v>
      </c>
      <c r="D626" s="2" t="s">
        <v>539</v>
      </c>
      <c r="E626" s="2" t="s">
        <v>67</v>
      </c>
      <c r="F626" s="2" t="s">
        <v>3747</v>
      </c>
      <c r="G626" s="2" t="s">
        <v>3748</v>
      </c>
      <c r="H626" s="2" t="s">
        <v>3749</v>
      </c>
      <c r="I626" s="2" t="s">
        <v>653</v>
      </c>
      <c r="J626" s="2" t="s">
        <v>44</v>
      </c>
      <c r="K626" s="2" t="s">
        <v>93</v>
      </c>
      <c r="L626" s="2" t="s">
        <v>3727</v>
      </c>
      <c r="M626" s="2" t="s">
        <v>46</v>
      </c>
      <c r="N626" s="2" t="s">
        <v>3750</v>
      </c>
      <c r="O626" s="2" t="s">
        <v>29</v>
      </c>
      <c r="P626" s="2" t="s">
        <v>3751</v>
      </c>
    </row>
    <row r="627" customFormat="false" ht="46.25" hidden="false" customHeight="false" outlineLevel="0" collapsed="false">
      <c r="A627" s="3" t="s">
        <v>3145</v>
      </c>
      <c r="B627" s="3" t="s">
        <v>17</v>
      </c>
      <c r="C627" s="3" t="s">
        <v>3752</v>
      </c>
      <c r="D627" s="3" t="s">
        <v>539</v>
      </c>
      <c r="E627" s="3" t="s">
        <v>67</v>
      </c>
      <c r="F627" s="3" t="s">
        <v>3753</v>
      </c>
      <c r="G627" s="3" t="s">
        <v>3754</v>
      </c>
      <c r="H627" s="3" t="s">
        <v>240</v>
      </c>
      <c r="I627" s="3" t="s">
        <v>24</v>
      </c>
      <c r="J627" s="3" t="s">
        <v>25</v>
      </c>
      <c r="K627" s="3" t="s">
        <v>572</v>
      </c>
      <c r="L627" s="3" t="s">
        <v>3586</v>
      </c>
      <c r="M627" s="3" t="s">
        <v>121</v>
      </c>
      <c r="N627" s="3" t="s">
        <v>3587</v>
      </c>
      <c r="O627" s="3" t="s">
        <v>183</v>
      </c>
      <c r="P627" s="3" t="s">
        <v>3755</v>
      </c>
    </row>
    <row r="628" customFormat="false" ht="35.05" hidden="false" customHeight="false" outlineLevel="0" collapsed="false">
      <c r="A628" s="3" t="s">
        <v>3145</v>
      </c>
      <c r="B628" s="3" t="s">
        <v>17</v>
      </c>
      <c r="C628" s="3" t="s">
        <v>3756</v>
      </c>
      <c r="D628" s="3" t="s">
        <v>539</v>
      </c>
      <c r="E628" s="3" t="s">
        <v>67</v>
      </c>
      <c r="F628" s="3" t="s">
        <v>3757</v>
      </c>
      <c r="G628" s="3" t="s">
        <v>3758</v>
      </c>
      <c r="H628" s="3" t="s">
        <v>240</v>
      </c>
      <c r="I628" s="3" t="s">
        <v>36</v>
      </c>
      <c r="J628" s="3" t="s">
        <v>25</v>
      </c>
      <c r="K628" s="3" t="s">
        <v>3759</v>
      </c>
      <c r="L628" s="3" t="s">
        <v>3586</v>
      </c>
      <c r="M628" s="3" t="s">
        <v>121</v>
      </c>
      <c r="N628" s="3" t="s">
        <v>3587</v>
      </c>
      <c r="O628" s="3" t="s">
        <v>183</v>
      </c>
      <c r="P628" s="3" t="s">
        <v>3760</v>
      </c>
    </row>
    <row r="629" customFormat="false" ht="57.45" hidden="false" customHeight="false" outlineLevel="0" collapsed="false">
      <c r="A629" s="2" t="s">
        <v>3145</v>
      </c>
      <c r="B629" s="2" t="s">
        <v>169</v>
      </c>
      <c r="C629" s="2" t="s">
        <v>2877</v>
      </c>
      <c r="D629" s="2" t="s">
        <v>539</v>
      </c>
      <c r="E629" s="2" t="s">
        <v>67</v>
      </c>
      <c r="F629" s="2" t="s">
        <v>3761</v>
      </c>
      <c r="G629" s="2" t="s">
        <v>3762</v>
      </c>
      <c r="H629" s="2" t="s">
        <v>2874</v>
      </c>
      <c r="I629" s="2" t="s">
        <v>474</v>
      </c>
      <c r="J629" s="2" t="s">
        <v>44</v>
      </c>
      <c r="K629" s="2" t="s">
        <v>93</v>
      </c>
      <c r="L629" s="2" t="s">
        <v>598</v>
      </c>
      <c r="M629" s="2" t="s">
        <v>46</v>
      </c>
      <c r="N629" s="2" t="s">
        <v>3763</v>
      </c>
      <c r="O629" s="2" t="s">
        <v>29</v>
      </c>
      <c r="P629" s="2" t="s">
        <v>1207</v>
      </c>
    </row>
    <row r="630" customFormat="false" ht="68.65" hidden="false" customHeight="false" outlineLevel="0" collapsed="false">
      <c r="A630" s="2" t="s">
        <v>3145</v>
      </c>
      <c r="B630" s="2" t="s">
        <v>169</v>
      </c>
      <c r="C630" s="2" t="s">
        <v>3764</v>
      </c>
      <c r="D630" s="2" t="s">
        <v>539</v>
      </c>
      <c r="E630" s="2" t="s">
        <v>67</v>
      </c>
      <c r="F630" s="2" t="s">
        <v>3765</v>
      </c>
      <c r="G630" s="2" t="s">
        <v>3766</v>
      </c>
      <c r="H630" s="2" t="s">
        <v>1228</v>
      </c>
      <c r="I630" s="2" t="s">
        <v>534</v>
      </c>
      <c r="J630" s="2" t="s">
        <v>44</v>
      </c>
      <c r="K630" s="2" t="s">
        <v>93</v>
      </c>
      <c r="L630" s="2" t="s">
        <v>3767</v>
      </c>
      <c r="M630" s="2" t="s">
        <v>27</v>
      </c>
      <c r="N630" s="2" t="s">
        <v>3768</v>
      </c>
      <c r="O630" s="2" t="s">
        <v>29</v>
      </c>
      <c r="P630" s="2" t="s">
        <v>3769</v>
      </c>
    </row>
    <row r="631" customFormat="false" ht="68.65" hidden="false" customHeight="false" outlineLevel="0" collapsed="false">
      <c r="A631" s="2" t="s">
        <v>3145</v>
      </c>
      <c r="B631" s="2" t="s">
        <v>169</v>
      </c>
      <c r="C631" s="2" t="s">
        <v>3770</v>
      </c>
      <c r="D631" s="2" t="s">
        <v>539</v>
      </c>
      <c r="E631" s="2" t="s">
        <v>67</v>
      </c>
      <c r="F631" s="2" t="s">
        <v>3771</v>
      </c>
      <c r="G631" s="2" t="s">
        <v>3772</v>
      </c>
      <c r="H631" s="2" t="s">
        <v>3773</v>
      </c>
      <c r="I631" s="2" t="s">
        <v>3774</v>
      </c>
      <c r="J631" s="2" t="s">
        <v>44</v>
      </c>
      <c r="K631" s="2"/>
      <c r="L631" s="2" t="s">
        <v>3162</v>
      </c>
      <c r="M631" s="2" t="s">
        <v>46</v>
      </c>
      <c r="N631" s="2" t="s">
        <v>3775</v>
      </c>
      <c r="O631" s="2" t="s">
        <v>29</v>
      </c>
      <c r="P631" s="2" t="s">
        <v>3776</v>
      </c>
    </row>
    <row r="632" customFormat="false" ht="91" hidden="false" customHeight="false" outlineLevel="0" collapsed="false">
      <c r="A632" s="2" t="s">
        <v>3145</v>
      </c>
      <c r="B632" s="2" t="s">
        <v>17</v>
      </c>
      <c r="C632" s="2" t="s">
        <v>3777</v>
      </c>
      <c r="D632" s="2" t="s">
        <v>539</v>
      </c>
      <c r="E632" s="2" t="s">
        <v>20</v>
      </c>
      <c r="F632" s="2" t="s">
        <v>3778</v>
      </c>
      <c r="G632" s="2" t="s">
        <v>3779</v>
      </c>
      <c r="H632" s="2" t="s">
        <v>2874</v>
      </c>
      <c r="I632" s="2" t="s">
        <v>36</v>
      </c>
      <c r="J632" s="2" t="s">
        <v>92</v>
      </c>
      <c r="K632" s="2" t="s">
        <v>3780</v>
      </c>
      <c r="L632" s="2" t="s">
        <v>3781</v>
      </c>
      <c r="M632" s="2" t="s">
        <v>46</v>
      </c>
      <c r="N632" s="2" t="s">
        <v>3782</v>
      </c>
      <c r="O632" s="2" t="s">
        <v>29</v>
      </c>
      <c r="P632" s="2" t="s">
        <v>3783</v>
      </c>
    </row>
    <row r="633" customFormat="false" ht="79.85" hidden="false" customHeight="false" outlineLevel="0" collapsed="false">
      <c r="A633" s="2" t="s">
        <v>3145</v>
      </c>
      <c r="B633" s="2" t="s">
        <v>17</v>
      </c>
      <c r="C633" s="2" t="s">
        <v>3784</v>
      </c>
      <c r="D633" s="2" t="s">
        <v>539</v>
      </c>
      <c r="E633" s="2" t="s">
        <v>67</v>
      </c>
      <c r="F633" s="2" t="s">
        <v>3785</v>
      </c>
      <c r="G633" s="2" t="s">
        <v>3786</v>
      </c>
      <c r="H633" s="2" t="s">
        <v>240</v>
      </c>
      <c r="I633" s="2" t="s">
        <v>1056</v>
      </c>
      <c r="J633" s="2" t="s">
        <v>44</v>
      </c>
      <c r="K633" s="2" t="s">
        <v>93</v>
      </c>
      <c r="L633" s="2" t="s">
        <v>3787</v>
      </c>
      <c r="M633" s="2" t="s">
        <v>27</v>
      </c>
      <c r="N633" s="2" t="s">
        <v>3788</v>
      </c>
      <c r="O633" s="2" t="s">
        <v>29</v>
      </c>
      <c r="P633" s="2" t="s">
        <v>3789</v>
      </c>
    </row>
    <row r="634" customFormat="false" ht="68.65" hidden="false" customHeight="false" outlineLevel="0" collapsed="false">
      <c r="A634" s="2" t="s">
        <v>3145</v>
      </c>
      <c r="B634" s="2" t="s">
        <v>17</v>
      </c>
      <c r="C634" s="2" t="s">
        <v>3790</v>
      </c>
      <c r="D634" s="2" t="s">
        <v>539</v>
      </c>
      <c r="E634" s="2" t="s">
        <v>67</v>
      </c>
      <c r="F634" s="2" t="s">
        <v>3791</v>
      </c>
      <c r="G634" s="2" t="s">
        <v>3792</v>
      </c>
      <c r="H634" s="2" t="s">
        <v>3793</v>
      </c>
      <c r="I634" s="2" t="s">
        <v>3794</v>
      </c>
      <c r="J634" s="2" t="s">
        <v>44</v>
      </c>
      <c r="K634" s="2"/>
      <c r="L634" s="2" t="s">
        <v>3795</v>
      </c>
      <c r="M634" s="2" t="s">
        <v>243</v>
      </c>
      <c r="N634" s="2" t="s">
        <v>3796</v>
      </c>
      <c r="O634" s="2" t="s">
        <v>29</v>
      </c>
      <c r="P634" s="2" t="s">
        <v>3797</v>
      </c>
    </row>
    <row r="635" customFormat="false" ht="68.65" hidden="false" customHeight="false" outlineLevel="0" collapsed="false">
      <c r="A635" s="2" t="s">
        <v>3145</v>
      </c>
      <c r="B635" s="2" t="s">
        <v>17</v>
      </c>
      <c r="C635" s="2" t="s">
        <v>3798</v>
      </c>
      <c r="D635" s="2" t="s">
        <v>539</v>
      </c>
      <c r="E635" s="2" t="s">
        <v>67</v>
      </c>
      <c r="F635" s="2" t="s">
        <v>3799</v>
      </c>
      <c r="G635" s="2" t="s">
        <v>3800</v>
      </c>
      <c r="H635" s="2" t="s">
        <v>240</v>
      </c>
      <c r="I635" s="2" t="s">
        <v>2807</v>
      </c>
      <c r="J635" s="2" t="s">
        <v>44</v>
      </c>
      <c r="K635" s="2"/>
      <c r="L635" s="2" t="s">
        <v>3801</v>
      </c>
      <c r="M635" s="2" t="s">
        <v>27</v>
      </c>
      <c r="N635" s="2" t="s">
        <v>3802</v>
      </c>
      <c r="O635" s="2" t="s">
        <v>29</v>
      </c>
      <c r="P635" s="2" t="s">
        <v>3803</v>
      </c>
    </row>
    <row r="636" customFormat="false" ht="57.45" hidden="false" customHeight="false" outlineLevel="0" collapsed="false">
      <c r="A636" s="2" t="s">
        <v>3145</v>
      </c>
      <c r="B636" s="2" t="s">
        <v>288</v>
      </c>
      <c r="C636" s="2" t="s">
        <v>3804</v>
      </c>
      <c r="D636" s="2" t="s">
        <v>539</v>
      </c>
      <c r="E636" s="2" t="s">
        <v>20</v>
      </c>
      <c r="F636" s="2" t="s">
        <v>3805</v>
      </c>
      <c r="G636" s="2" t="s">
        <v>3806</v>
      </c>
      <c r="H636" s="2" t="s">
        <v>2874</v>
      </c>
      <c r="I636" s="2" t="s">
        <v>596</v>
      </c>
      <c r="J636" s="2" t="s">
        <v>44</v>
      </c>
      <c r="K636" s="2" t="s">
        <v>2962</v>
      </c>
      <c r="L636" s="2" t="s">
        <v>598</v>
      </c>
      <c r="M636" s="2" t="s">
        <v>46</v>
      </c>
      <c r="N636" s="2" t="s">
        <v>3807</v>
      </c>
      <c r="O636" s="2" t="s">
        <v>29</v>
      </c>
      <c r="P636" s="2" t="s">
        <v>3808</v>
      </c>
    </row>
    <row r="637" customFormat="false" ht="113.4" hidden="false" customHeight="false" outlineLevel="0" collapsed="false">
      <c r="A637" s="2" t="s">
        <v>3145</v>
      </c>
      <c r="B637" s="2" t="s">
        <v>17</v>
      </c>
      <c r="C637" s="2" t="s">
        <v>1284</v>
      </c>
      <c r="D637" s="2" t="s">
        <v>539</v>
      </c>
      <c r="E637" s="2" t="s">
        <v>67</v>
      </c>
      <c r="F637" s="2" t="s">
        <v>3809</v>
      </c>
      <c r="G637" s="2" t="s">
        <v>3810</v>
      </c>
      <c r="H637" s="2" t="s">
        <v>3811</v>
      </c>
      <c r="I637" s="2" t="s">
        <v>3812</v>
      </c>
      <c r="J637" s="2" t="s">
        <v>44</v>
      </c>
      <c r="K637" s="2" t="s">
        <v>93</v>
      </c>
      <c r="L637" s="2" t="s">
        <v>3813</v>
      </c>
      <c r="M637" s="2" t="s">
        <v>46</v>
      </c>
      <c r="N637" s="2" t="s">
        <v>3814</v>
      </c>
      <c r="O637" s="2" t="s">
        <v>29</v>
      </c>
      <c r="P637" s="2" t="s">
        <v>3815</v>
      </c>
    </row>
    <row r="638" customFormat="false" ht="68.65" hidden="false" customHeight="false" outlineLevel="0" collapsed="false">
      <c r="A638" s="2" t="s">
        <v>3145</v>
      </c>
      <c r="B638" s="2" t="s">
        <v>169</v>
      </c>
      <c r="C638" s="2" t="s">
        <v>3816</v>
      </c>
      <c r="D638" s="2" t="s">
        <v>539</v>
      </c>
      <c r="E638" s="2" t="s">
        <v>67</v>
      </c>
      <c r="F638" s="2" t="s">
        <v>3817</v>
      </c>
      <c r="G638" s="2" t="s">
        <v>3818</v>
      </c>
      <c r="H638" s="2" t="s">
        <v>240</v>
      </c>
      <c r="I638" s="2" t="s">
        <v>763</v>
      </c>
      <c r="J638" s="2" t="s">
        <v>44</v>
      </c>
      <c r="K638" s="2"/>
      <c r="L638" s="2" t="s">
        <v>3249</v>
      </c>
      <c r="M638" s="2" t="s">
        <v>46</v>
      </c>
      <c r="N638" s="2" t="s">
        <v>3819</v>
      </c>
      <c r="O638" s="2" t="s">
        <v>29</v>
      </c>
      <c r="P638" s="2" t="s">
        <v>3820</v>
      </c>
    </row>
  </sheetData>
  <autoFilter ref="A1:P6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
  </cols>
  <sheetData>
    <row r="1" customFormat="false" ht="15" hidden="false" customHeight="false" outlineLevel="0" collapsed="false">
      <c r="A1" s="6" t="s">
        <v>3821</v>
      </c>
      <c r="B1" s="6" t="s">
        <v>3822</v>
      </c>
    </row>
    <row r="2" customFormat="false" ht="15" hidden="false" customHeight="false" outlineLevel="0" collapsed="false">
      <c r="A2" s="7" t="s">
        <v>3823</v>
      </c>
      <c r="B2" s="7" t="n">
        <f aca="false">COUNTA(Dataset!A2:A638)</f>
        <v>637</v>
      </c>
    </row>
    <row r="4" customFormat="false" ht="15" hidden="false" customHeight="false" outlineLevel="0" collapsed="false">
      <c r="A4" s="8" t="s">
        <v>3824</v>
      </c>
    </row>
    <row r="5" customFormat="false" ht="15" hidden="false" customHeight="false" outlineLevel="0" collapsed="false">
      <c r="A5" s="7" t="s">
        <v>3825</v>
      </c>
      <c r="B5" s="7" t="n">
        <f aca="false">COUNTIF(Dataset!O2:O638,"Verified")</f>
        <v>565</v>
      </c>
    </row>
    <row r="6" customFormat="false" ht="15" hidden="false" customHeight="false" outlineLevel="0" collapsed="false">
      <c r="A6" s="7" t="s">
        <v>3826</v>
      </c>
      <c r="B6" s="7" t="n">
        <f aca="false">COUNTIF(Dataset!O2:O638,"Not yet verified")</f>
        <v>71</v>
      </c>
    </row>
    <row r="7" customFormat="false" ht="15" hidden="false" customHeight="false" outlineLevel="0" collapsed="false">
      <c r="A7" s="7" t="s">
        <v>3827</v>
      </c>
      <c r="B7" s="7" t="n">
        <f aca="false">COUNTIF(Dataset!O2:O638,"Mismatch found")</f>
        <v>1</v>
      </c>
    </row>
    <row r="9" customFormat="false" ht="15" hidden="false" customHeight="false" outlineLevel="0" collapsed="false">
      <c r="A9" s="8" t="s">
        <v>3828</v>
      </c>
    </row>
    <row r="10" customFormat="false" ht="15" hidden="false" customHeight="false" outlineLevel="0" collapsed="false">
      <c r="A10" s="7" t="s">
        <v>3829</v>
      </c>
      <c r="B10" s="7" t="n">
        <f aca="false">COUNTIF(Dataset!A2:A638,"Algeria")</f>
        <v>93</v>
      </c>
    </row>
    <row r="11" customFormat="false" ht="15" hidden="false" customHeight="false" outlineLevel="0" collapsed="false">
      <c r="A11" s="7" t="s">
        <v>3830</v>
      </c>
      <c r="B11" s="7" t="n">
        <f aca="false">COUNTIF(Dataset!A2:A638,"Egypt")</f>
        <v>142</v>
      </c>
    </row>
    <row r="12" customFormat="false" ht="15" hidden="false" customHeight="false" outlineLevel="0" collapsed="false">
      <c r="A12" s="7" t="s">
        <v>3831</v>
      </c>
      <c r="B12" s="7" t="n">
        <f aca="false">COUNTIF(Dataset!A2:A638,"Lebanon")</f>
        <v>78</v>
      </c>
    </row>
    <row r="13" customFormat="false" ht="15" hidden="false" customHeight="false" outlineLevel="0" collapsed="false">
      <c r="A13" s="7" t="s">
        <v>3832</v>
      </c>
      <c r="B13" s="7" t="n">
        <f aca="false">COUNTIF(Dataset!A2:A638,"Morocco")</f>
        <v>113</v>
      </c>
    </row>
    <row r="14" customFormat="false" ht="15" hidden="false" customHeight="false" outlineLevel="0" collapsed="false">
      <c r="A14" s="7" t="s">
        <v>3833</v>
      </c>
      <c r="B14" s="7" t="n">
        <f aca="false">COUNTIF(Dataset!A2:A638,"Tunisia")</f>
        <v>111</v>
      </c>
    </row>
    <row r="16" customFormat="false" ht="15" hidden="false" customHeight="false" outlineLevel="0" collapsed="false">
      <c r="A16" s="8" t="s">
        <v>3834</v>
      </c>
    </row>
    <row r="17" customFormat="false" ht="15" hidden="false" customHeight="false" outlineLevel="0" collapsed="false">
      <c r="A17" s="7" t="s">
        <v>3835</v>
      </c>
      <c r="B17" s="7" t="n">
        <f aca="false">COUNTIF(Dataset!A2:A638,"France")</f>
        <v>40</v>
      </c>
    </row>
    <row r="18" customFormat="false" ht="15" hidden="false" customHeight="false" outlineLevel="0" collapsed="false">
      <c r="A18" s="7" t="s">
        <v>3836</v>
      </c>
      <c r="B18" s="7" t="n">
        <f aca="false">COUNTIF(Dataset!A2:A638,"Italy")</f>
        <v>30</v>
      </c>
    </row>
    <row r="19" customFormat="false" ht="15" hidden="false" customHeight="false" outlineLevel="0" collapsed="false">
      <c r="A19" s="7" t="s">
        <v>3837</v>
      </c>
      <c r="B19" s="7" t="n">
        <f aca="false">COUNTIF(Dataset!A2:A638,"Spain")</f>
        <v>30</v>
      </c>
    </row>
    <row r="21" customFormat="false" ht="15" hidden="false" customHeight="false" outlineLevel="0" collapsed="false">
      <c r="A21" s="8" t="s">
        <v>3838</v>
      </c>
    </row>
    <row r="22" customFormat="false" ht="15" hidden="false" customHeight="false" outlineLevel="0" collapsed="false">
      <c r="A22" s="7" t="s">
        <v>3839</v>
      </c>
      <c r="B22" s="7" t="n">
        <f aca="false">COUNTIF(Dataset!B2:B638,"Agriculture")</f>
        <v>41</v>
      </c>
    </row>
    <row r="23" customFormat="false" ht="15" hidden="false" customHeight="false" outlineLevel="0" collapsed="false">
      <c r="A23" s="7" t="s">
        <v>3840</v>
      </c>
      <c r="B23" s="7" t="n">
        <f aca="false">COUNTIF(Dataset!B2:B638,"Education")</f>
        <v>122</v>
      </c>
    </row>
    <row r="24" customFormat="false" ht="15" hidden="false" customHeight="false" outlineLevel="0" collapsed="false">
      <c r="A24" s="7" t="s">
        <v>3841</v>
      </c>
      <c r="B24" s="7" t="n">
        <f aca="false">COUNTIF(Dataset!B2:B638,"Energy")</f>
        <v>22</v>
      </c>
    </row>
    <row r="25" customFormat="false" ht="15" hidden="false" customHeight="false" outlineLevel="0" collapsed="false">
      <c r="A25" s="7" t="s">
        <v>3842</v>
      </c>
      <c r="B25" s="7" t="n">
        <f aca="false">COUNTIF(Dataset!B2:B638,"Health")</f>
        <v>48</v>
      </c>
    </row>
    <row r="26" customFormat="false" ht="15" hidden="false" customHeight="false" outlineLevel="0" collapsed="false">
      <c r="A26" s="7" t="s">
        <v>3843</v>
      </c>
      <c r="B26" s="7" t="n">
        <f aca="false">COUNTIF(Dataset!B2:B638,"Industry")</f>
        <v>390</v>
      </c>
    </row>
    <row r="27" customFormat="false" ht="15" hidden="false" customHeight="false" outlineLevel="0" collapsed="false">
      <c r="A27" s="7" t="s">
        <v>3844</v>
      </c>
      <c r="B27" s="7" t="n">
        <f aca="false">COUNTIF(Dataset!B2:B638,"Maritime")</f>
        <v>14</v>
      </c>
    </row>
    <row r="29" customFormat="false" ht="15" hidden="false" customHeight="false" outlineLevel="0" collapsed="false">
      <c r="A29" s="8" t="s">
        <v>3845</v>
      </c>
    </row>
    <row r="30" customFormat="false" ht="15" hidden="false" customHeight="false" outlineLevel="0" collapsed="false">
      <c r="A30" s="7" t="s">
        <v>3846</v>
      </c>
      <c r="B30" s="7" t="n">
        <f aca="false">COUNTIF(Dataset!D2:D638,"Community/Association")</f>
        <v>19</v>
      </c>
    </row>
    <row r="31" customFormat="false" ht="15" hidden="false" customHeight="false" outlineLevel="0" collapsed="false">
      <c r="A31" s="7" t="s">
        <v>3847</v>
      </c>
      <c r="B31" s="7" t="n">
        <f aca="false">COUNTIF(Dataset!D2:D638,"Conference/Summit")</f>
        <v>29</v>
      </c>
    </row>
    <row r="32" customFormat="false" ht="15" hidden="false" customHeight="false" outlineLevel="0" collapsed="false">
      <c r="A32" s="7" t="s">
        <v>3848</v>
      </c>
      <c r="B32" s="7" t="n">
        <f aca="false">COUNTIF(Dataset!D2:D638,"Funding")</f>
        <v>47</v>
      </c>
    </row>
    <row r="33" customFormat="false" ht="15" hidden="false" customHeight="false" outlineLevel="0" collapsed="false">
      <c r="A33" s="7" t="s">
        <v>3849</v>
      </c>
      <c r="B33" s="7" t="n">
        <f aca="false">COUNTIF(Dataset!D2:D638,"Hackathons")</f>
        <v>24</v>
      </c>
    </row>
    <row r="34" customFormat="false" ht="15" hidden="false" customHeight="false" outlineLevel="0" collapsed="false">
      <c r="A34" s="7" t="s">
        <v>3850</v>
      </c>
      <c r="B34" s="7" t="n">
        <f aca="false">COUNTIF(Dataset!D2:D638,"Incubator/Accelerator")</f>
        <v>52</v>
      </c>
    </row>
    <row r="35" customFormat="false" ht="15" hidden="false" customHeight="false" outlineLevel="0" collapsed="false">
      <c r="A35" s="7" t="s">
        <v>3851</v>
      </c>
      <c r="B35" s="7" t="n">
        <f aca="false">COUNTIF(Dataset!D2:D638,"Other initiatives")</f>
        <v>57</v>
      </c>
    </row>
    <row r="36" customFormat="false" ht="15" hidden="false" customHeight="false" outlineLevel="0" collapsed="false">
      <c r="A36" s="7" t="s">
        <v>3852</v>
      </c>
      <c r="B36" s="7" t="n">
        <f aca="false">COUNTIF(Dataset!D2:D638,"Policy/Strategy")</f>
        <v>84</v>
      </c>
    </row>
    <row r="37" customFormat="false" ht="15" hidden="false" customHeight="false" outlineLevel="0" collapsed="false">
      <c r="A37" s="7" t="s">
        <v>3853</v>
      </c>
      <c r="B37" s="7" t="n">
        <f aca="false">COUNTIF(Dataset!D2:D638,"R&amp;D")</f>
        <v>93</v>
      </c>
    </row>
    <row r="38" customFormat="false" ht="15" hidden="false" customHeight="false" outlineLevel="0" collapsed="false">
      <c r="A38" s="7" t="s">
        <v>3854</v>
      </c>
      <c r="B38" s="7" t="n">
        <f aca="false">COUNTIF(Dataset!D2:D638,"Startup")</f>
        <v>232</v>
      </c>
    </row>
    <row r="40" customFormat="false" ht="15" hidden="false" customHeight="false" outlineLevel="0" collapsed="false">
      <c r="A40" s="7" t="s">
        <v>3855</v>
      </c>
      <c r="B40" s="7" t="n">
        <f aca="false">COUNTA(Dataset!E2:E638)</f>
        <v>521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
  </cols>
  <sheetData>
    <row r="1" customFormat="false" ht="15" hidden="false" customHeight="false" outlineLevel="0" collapsed="false">
      <c r="A1" s="8" t="s">
        <v>3856</v>
      </c>
    </row>
    <row r="2" customFormat="false" ht="15" hidden="false" customHeight="false" outlineLevel="0" collapsed="false">
      <c r="A2" s="6" t="s">
        <v>3857</v>
      </c>
      <c r="B2" s="6" t="s">
        <v>3822</v>
      </c>
    </row>
    <row r="3" customFormat="false" ht="15" hidden="false" customHeight="false" outlineLevel="0" collapsed="false">
      <c r="A3" s="7" t="s">
        <v>1766</v>
      </c>
      <c r="B3" s="7" t="n">
        <v>30</v>
      </c>
    </row>
    <row r="4" customFormat="false" ht="15" hidden="false" customHeight="false" outlineLevel="0" collapsed="false">
      <c r="A4" s="7" t="s">
        <v>3020</v>
      </c>
      <c r="B4" s="7" t="n">
        <v>30</v>
      </c>
    </row>
    <row r="5" customFormat="false" ht="15" hidden="false" customHeight="false" outlineLevel="0" collapsed="false">
      <c r="A5" s="7" t="s">
        <v>1582</v>
      </c>
      <c r="B5" s="7" t="n">
        <v>40</v>
      </c>
    </row>
    <row r="6" customFormat="false" ht="15" hidden="false" customHeight="false" outlineLevel="0" collapsed="false">
      <c r="A6" s="7" t="s">
        <v>1901</v>
      </c>
      <c r="B6" s="7" t="n">
        <v>78</v>
      </c>
    </row>
    <row r="7" customFormat="false" ht="15" hidden="false" customHeight="false" outlineLevel="0" collapsed="false">
      <c r="A7" s="7" t="s">
        <v>16</v>
      </c>
      <c r="B7" s="7" t="n">
        <v>93</v>
      </c>
    </row>
    <row r="8" customFormat="false" ht="15" hidden="false" customHeight="false" outlineLevel="0" collapsed="false">
      <c r="A8" s="7" t="s">
        <v>3145</v>
      </c>
      <c r="B8" s="7" t="n">
        <v>111</v>
      </c>
    </row>
    <row r="9" customFormat="false" ht="15" hidden="false" customHeight="false" outlineLevel="0" collapsed="false">
      <c r="A9" s="7" t="s">
        <v>2349</v>
      </c>
      <c r="B9" s="7" t="n">
        <v>113</v>
      </c>
    </row>
    <row r="10" customFormat="false" ht="15" hidden="false" customHeight="false" outlineLevel="0" collapsed="false">
      <c r="A10" s="7" t="s">
        <v>683</v>
      </c>
      <c r="B10" s="7" t="n">
        <v>142</v>
      </c>
    </row>
    <row r="12" customFormat="false" ht="15" hidden="false" customHeight="false" outlineLevel="0" collapsed="false">
      <c r="A12" s="8" t="s">
        <v>3858</v>
      </c>
    </row>
    <row r="13" customFormat="false" ht="15" hidden="false" customHeight="false" outlineLevel="0" collapsed="false">
      <c r="A13" s="6" t="s">
        <v>3857</v>
      </c>
      <c r="B13" s="6" t="s">
        <v>3822</v>
      </c>
    </row>
    <row r="14" customFormat="false" ht="15" hidden="false" customHeight="false" outlineLevel="0" collapsed="false">
      <c r="A14" s="7" t="s">
        <v>19</v>
      </c>
      <c r="B14" s="7" t="n">
        <v>19</v>
      </c>
    </row>
    <row r="15" customFormat="false" ht="15" hidden="false" customHeight="false" outlineLevel="0" collapsed="false">
      <c r="A15" s="7" t="s">
        <v>139</v>
      </c>
      <c r="B15" s="7" t="n">
        <v>24</v>
      </c>
    </row>
    <row r="16" customFormat="false" ht="15" hidden="false" customHeight="false" outlineLevel="0" collapsed="false">
      <c r="A16" s="7" t="s">
        <v>50</v>
      </c>
      <c r="B16" s="7" t="n">
        <v>29</v>
      </c>
    </row>
    <row r="17" customFormat="false" ht="15" hidden="false" customHeight="false" outlineLevel="0" collapsed="false">
      <c r="A17" s="7" t="s">
        <v>89</v>
      </c>
      <c r="B17" s="7" t="n">
        <v>47</v>
      </c>
    </row>
    <row r="18" customFormat="false" ht="15" hidden="false" customHeight="false" outlineLevel="0" collapsed="false">
      <c r="A18" s="7" t="s">
        <v>193</v>
      </c>
      <c r="B18" s="7" t="n">
        <v>52</v>
      </c>
    </row>
    <row r="19" customFormat="false" ht="15" hidden="false" customHeight="false" outlineLevel="0" collapsed="false">
      <c r="A19" s="7" t="s">
        <v>247</v>
      </c>
      <c r="B19" s="7" t="n">
        <v>57</v>
      </c>
    </row>
    <row r="20" customFormat="false" ht="15" hidden="false" customHeight="false" outlineLevel="0" collapsed="false">
      <c r="A20" s="7" t="s">
        <v>320</v>
      </c>
      <c r="B20" s="7" t="n">
        <v>84</v>
      </c>
    </row>
    <row r="21" customFormat="false" ht="15" hidden="false" customHeight="false" outlineLevel="0" collapsed="false">
      <c r="A21" s="7" t="s">
        <v>390</v>
      </c>
      <c r="B21" s="7" t="n">
        <v>93</v>
      </c>
    </row>
    <row r="22" customFormat="false" ht="15" hidden="false" customHeight="false" outlineLevel="0" collapsed="false">
      <c r="A22" s="7" t="s">
        <v>539</v>
      </c>
      <c r="B22" s="7" t="n">
        <v>232</v>
      </c>
    </row>
    <row r="25" customFormat="false" ht="15" hidden="false" customHeight="false" outlineLevel="0" collapsed="false">
      <c r="A25" s="8" t="s">
        <v>3859</v>
      </c>
    </row>
    <row r="26" customFormat="false" ht="15" hidden="false" customHeight="false" outlineLevel="0" collapsed="false">
      <c r="A26" s="6" t="s">
        <v>3857</v>
      </c>
      <c r="B26" s="6" t="s">
        <v>3822</v>
      </c>
    </row>
    <row r="27" customFormat="false" ht="15" hidden="false" customHeight="false" outlineLevel="0" collapsed="false">
      <c r="A27" s="7" t="s">
        <v>254</v>
      </c>
      <c r="B27" s="7" t="n">
        <v>14</v>
      </c>
    </row>
    <row r="28" customFormat="false" ht="15" hidden="false" customHeight="false" outlineLevel="0" collapsed="false">
      <c r="A28" s="7" t="s">
        <v>288</v>
      </c>
      <c r="B28" s="7" t="n">
        <v>22</v>
      </c>
    </row>
    <row r="29" customFormat="false" ht="15" hidden="false" customHeight="false" outlineLevel="0" collapsed="false">
      <c r="A29" s="7" t="s">
        <v>169</v>
      </c>
      <c r="B29" s="7" t="n">
        <v>41</v>
      </c>
    </row>
    <row r="30" customFormat="false" ht="15" hidden="false" customHeight="false" outlineLevel="0" collapsed="false">
      <c r="A30" s="7" t="s">
        <v>65</v>
      </c>
      <c r="B30" s="7" t="n">
        <v>48</v>
      </c>
    </row>
    <row r="31" customFormat="false" ht="15" hidden="false" customHeight="false" outlineLevel="0" collapsed="false">
      <c r="A31" s="7" t="s">
        <v>31</v>
      </c>
      <c r="B31" s="7" t="n">
        <v>122</v>
      </c>
    </row>
    <row r="32" customFormat="false" ht="15" hidden="false" customHeight="false" outlineLevel="0" collapsed="false">
      <c r="A32" s="7" t="s">
        <v>17</v>
      </c>
      <c r="B32" s="7" t="n">
        <v>390</v>
      </c>
    </row>
    <row r="35" customFormat="false" ht="15" hidden="false" customHeight="false" outlineLevel="0" collapsed="false">
      <c r="A35" s="8" t="s">
        <v>3860</v>
      </c>
    </row>
    <row r="36" customFormat="false" ht="15" hidden="false" customHeight="false" outlineLevel="0" collapsed="false">
      <c r="A36" s="6" t="s">
        <v>3857</v>
      </c>
      <c r="B36" s="6" t="s">
        <v>3822</v>
      </c>
    </row>
    <row r="37" customFormat="false" ht="15" hidden="false" customHeight="false" outlineLevel="0" collapsed="false">
      <c r="A37" s="7" t="s">
        <v>27</v>
      </c>
      <c r="B37" s="7" t="n">
        <v>218</v>
      </c>
    </row>
    <row r="38" customFormat="false" ht="15" hidden="false" customHeight="false" outlineLevel="0" collapsed="false">
      <c r="A38" s="7" t="s">
        <v>46</v>
      </c>
      <c r="B38" s="7" t="n">
        <v>214</v>
      </c>
    </row>
    <row r="39" customFormat="false" ht="15" hidden="false" customHeight="false" outlineLevel="0" collapsed="false">
      <c r="A39" s="7" t="s">
        <v>121</v>
      </c>
      <c r="B39" s="7" t="n">
        <v>79</v>
      </c>
    </row>
    <row r="40" customFormat="false" ht="15" hidden="false" customHeight="false" outlineLevel="0" collapsed="false">
      <c r="A40" s="7" t="s">
        <v>160</v>
      </c>
      <c r="B40" s="7" t="n">
        <v>54</v>
      </c>
    </row>
    <row r="41" customFormat="false" ht="15" hidden="false" customHeight="false" outlineLevel="0" collapsed="false">
      <c r="A41" s="7" t="s">
        <v>243</v>
      </c>
      <c r="B41" s="7" t="n">
        <v>52</v>
      </c>
    </row>
    <row r="42" customFormat="false" ht="15" hidden="false" customHeight="false" outlineLevel="0" collapsed="false">
      <c r="A42" s="7" t="s">
        <v>1610</v>
      </c>
      <c r="B42" s="7" t="n">
        <v>6</v>
      </c>
    </row>
    <row r="43" customFormat="false" ht="15" hidden="false" customHeight="false" outlineLevel="0" collapsed="false">
      <c r="A43" s="7" t="s">
        <v>1623</v>
      </c>
      <c r="B43" s="7" t="n">
        <v>5</v>
      </c>
    </row>
    <row r="44" customFormat="false" ht="15" hidden="false" customHeight="false" outlineLevel="0" collapsed="false">
      <c r="A44" s="7" t="s">
        <v>1058</v>
      </c>
      <c r="B44" s="7" t="n">
        <v>4</v>
      </c>
    </row>
    <row r="45" customFormat="false" ht="15" hidden="false" customHeight="false" outlineLevel="0" collapsed="false">
      <c r="A45" s="7" t="s">
        <v>1657</v>
      </c>
      <c r="B45" s="7" t="n">
        <v>4</v>
      </c>
    </row>
    <row r="46" customFormat="false" ht="15" hidden="false" customHeight="false" outlineLevel="0" collapsed="false">
      <c r="A46" s="7" t="s">
        <v>1793</v>
      </c>
      <c r="B46" s="7"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15"/>
  </cols>
  <sheetData>
    <row r="1" customFormat="false" ht="15" hidden="false" customHeight="false" outlineLevel="0" collapsed="false">
      <c r="A1" s="6" t="s">
        <v>3861</v>
      </c>
      <c r="B1" s="6" t="s">
        <v>3862</v>
      </c>
    </row>
    <row r="2" customFormat="false" ht="35.05" hidden="false" customHeight="false" outlineLevel="0" collapsed="false">
      <c r="A2" s="3" t="s">
        <v>3863</v>
      </c>
      <c r="B2" s="3" t="s">
        <v>3864</v>
      </c>
    </row>
    <row r="3" customFormat="false" ht="23.85" hidden="false" customHeight="false" outlineLevel="0" collapsed="false">
      <c r="A3" s="3" t="s">
        <v>3865</v>
      </c>
      <c r="B3" s="3" t="s">
        <v>3866</v>
      </c>
    </row>
    <row r="4" customFormat="false" ht="46.25" hidden="false" customHeight="false" outlineLevel="0" collapsed="false">
      <c r="A4" s="3" t="s">
        <v>3867</v>
      </c>
      <c r="B4" s="3" t="s">
        <v>3868</v>
      </c>
    </row>
    <row r="5" customFormat="false" ht="35.05" hidden="false" customHeight="false" outlineLevel="0" collapsed="false">
      <c r="A5" s="3" t="s">
        <v>3869</v>
      </c>
      <c r="B5" s="3" t="s">
        <v>3870</v>
      </c>
    </row>
    <row r="6" customFormat="false" ht="23.85" hidden="false" customHeight="false" outlineLevel="0" collapsed="false">
      <c r="A6" s="3" t="s">
        <v>3871</v>
      </c>
      <c r="B6" s="3" t="s">
        <v>3872</v>
      </c>
    </row>
    <row r="7" customFormat="false" ht="15" hidden="false" customHeight="false" outlineLevel="0" collapsed="false">
      <c r="A7" s="3" t="s">
        <v>3873</v>
      </c>
      <c r="B7" s="3" t="s">
        <v>3874</v>
      </c>
    </row>
    <row r="8" customFormat="false" ht="23.85" hidden="false" customHeight="false" outlineLevel="0" collapsed="false">
      <c r="A8" s="3" t="s">
        <v>3875</v>
      </c>
      <c r="B8" s="3" t="s">
        <v>3876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2026-09-03T00:04:14Z</dcterms:created>
  <dc:creator>openpyxl</dc:creator>
  <dc:description/>
  <dc:language>en-US</dc:language>
  <cp:lastModifiedBy/>
  <dcterms:modified xsi:type="dcterms:W3CDTF">2026-09-03T00:04:18Z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